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jheng-shuo_lin\Desktop\OTP\"/>
    </mc:Choice>
  </mc:AlternateContent>
  <xr:revisionPtr revIDLastSave="0" documentId="8_{9642C3E1-A1F7-4849-B1E8-F222A8F19E8B}" xr6:coauthVersionLast="47" xr6:coauthVersionMax="47" xr10:uidLastSave="{00000000-0000-0000-0000-000000000000}"/>
  <bookViews>
    <workbookView xWindow="-120" yWindow="-120" windowWidth="29040" windowHeight="15720" firstSheet="1" activeTab="8" xr2:uid="{40652B66-A45B-48BE-91E6-4A13E915CABA}"/>
  </bookViews>
  <sheets>
    <sheet name="Summary" sheetId="6" r:id="rId1"/>
    <sheet name="OTPROM" sheetId="26" r:id="rId2"/>
    <sheet name="OTPRBP" sheetId="22" r:id="rId3"/>
    <sheet name="OTPCFG" sheetId="31" r:id="rId4"/>
    <sheet name="OTPSTRAP" sheetId="32" r:id="rId5"/>
    <sheet name="OTPSTRAP_EXT" sheetId="33" r:id="rId6"/>
    <sheet name="OTPUSR" sheetId="27" r:id="rId7"/>
    <sheet name="OTPSEC" sheetId="34" r:id="rId8"/>
    <sheet name="OTPCAL" sheetId="15" r:id="rId9"/>
    <sheet name="OTPPUF" sheetId="30" r:id="rId10"/>
    <sheet name="Version History" sheetId="35" r:id="rId11"/>
  </sheets>
  <definedNames>
    <definedName name="otp_macro_base" localSheetId="9">#REF!</definedName>
    <definedName name="otp_macro_base">#REF!</definedName>
    <definedName name="_xlnm.Print_Area" localSheetId="8">OTPCAL!$A$1:$H$13</definedName>
    <definedName name="_xlnm.Print_Area" localSheetId="9">OTPPUF!$A$1:$H$8</definedName>
    <definedName name="_xlnm.Print_Area" localSheetId="2">OTPRBP!$A$1:$H$13</definedName>
    <definedName name="_xlnm.Print_Area" localSheetId="1">OTPROM!$A$1:$H$3</definedName>
    <definedName name="_xlnm.Print_Area" localSheetId="10">'Version History'!$A$1:$C$4</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0" l="1"/>
  <c r="E7" i="30"/>
  <c r="F7" i="30" s="1"/>
  <c r="E6" i="30"/>
  <c r="F6" i="30" s="1"/>
  <c r="E5" i="30"/>
  <c r="F5" i="30" s="1"/>
  <c r="E4" i="30"/>
  <c r="F4" i="30" s="1"/>
  <c r="E3" i="30"/>
  <c r="F3" i="30" s="1"/>
  <c r="E2" i="30"/>
  <c r="D13" i="15"/>
  <c r="E13" i="15" s="1"/>
  <c r="F13" i="15" s="1"/>
  <c r="D14" i="15" s="1"/>
  <c r="E14" i="15" s="1"/>
  <c r="F14" i="15" s="1"/>
  <c r="A14" i="15" s="1"/>
  <c r="E12" i="15"/>
  <c r="F12" i="15" s="1"/>
  <c r="E11" i="15"/>
  <c r="F11" i="15" s="1"/>
  <c r="E10" i="15"/>
  <c r="F10" i="15" s="1"/>
  <c r="E9" i="15"/>
  <c r="F9" i="15" s="1"/>
  <c r="E8" i="15"/>
  <c r="F8" i="15" s="1"/>
  <c r="E7" i="15"/>
  <c r="F7" i="15" s="1"/>
  <c r="E6" i="15"/>
  <c r="F6" i="15" s="1"/>
  <c r="E5" i="15"/>
  <c r="F5" i="15" s="1"/>
  <c r="E4" i="15"/>
  <c r="F4" i="15" s="1"/>
  <c r="E3" i="15"/>
  <c r="F3" i="15" s="1"/>
  <c r="A3" i="15"/>
  <c r="E2" i="15"/>
  <c r="F2" i="15" s="1"/>
  <c r="D44" i="34"/>
  <c r="E44" i="34" s="1"/>
  <c r="F44" i="34" s="1"/>
  <c r="E43" i="34"/>
  <c r="F43" i="34" s="1"/>
  <c r="E42" i="34"/>
  <c r="F42" i="34" s="1"/>
  <c r="E41" i="34"/>
  <c r="F41" i="34" s="1"/>
  <c r="E40" i="34"/>
  <c r="F40" i="34" s="1"/>
  <c r="E39" i="34"/>
  <c r="F39" i="34" s="1"/>
  <c r="E38" i="34"/>
  <c r="F38" i="34" s="1"/>
  <c r="E37" i="34"/>
  <c r="F37" i="34" s="1"/>
  <c r="E36" i="34"/>
  <c r="F36" i="34" s="1"/>
  <c r="E35" i="34"/>
  <c r="F35" i="34" s="1"/>
  <c r="E34" i="34"/>
  <c r="F34" i="34" s="1"/>
  <c r="E33" i="34"/>
  <c r="F33" i="34" s="1"/>
  <c r="E32" i="34"/>
  <c r="F32" i="34" s="1"/>
  <c r="E31" i="34"/>
  <c r="F31" i="34" s="1"/>
  <c r="E30" i="34"/>
  <c r="F30" i="34" s="1"/>
  <c r="E29" i="34"/>
  <c r="F29" i="34" s="1"/>
  <c r="E28" i="34"/>
  <c r="F28" i="34" s="1"/>
  <c r="E27" i="34"/>
  <c r="F27" i="34" s="1"/>
  <c r="E26" i="34"/>
  <c r="F26" i="34" s="1"/>
  <c r="E25" i="34"/>
  <c r="F25" i="34" s="1"/>
  <c r="E24" i="34"/>
  <c r="F24" i="34" s="1"/>
  <c r="E23" i="34"/>
  <c r="F23" i="34" s="1"/>
  <c r="E22" i="34"/>
  <c r="F22" i="34" s="1"/>
  <c r="E21" i="34"/>
  <c r="F21" i="34" s="1"/>
  <c r="E20" i="34"/>
  <c r="F20" i="34" s="1"/>
  <c r="E19" i="34"/>
  <c r="F19" i="34" s="1"/>
  <c r="E18" i="34"/>
  <c r="F18" i="34" s="1"/>
  <c r="E17" i="34"/>
  <c r="F17" i="34" s="1"/>
  <c r="E16" i="34"/>
  <c r="F16" i="34" s="1"/>
  <c r="E15" i="34"/>
  <c r="F15" i="34" s="1"/>
  <c r="E14" i="34"/>
  <c r="F14" i="34" s="1"/>
  <c r="E13" i="34"/>
  <c r="F13" i="34" s="1"/>
  <c r="E12" i="34"/>
  <c r="F12" i="34" s="1"/>
  <c r="E11" i="34"/>
  <c r="F11" i="34" s="1"/>
  <c r="E10" i="34"/>
  <c r="F10" i="34" s="1"/>
  <c r="E9" i="34"/>
  <c r="F9" i="34" s="1"/>
  <c r="E8" i="34"/>
  <c r="F8" i="34" s="1"/>
  <c r="E7" i="34"/>
  <c r="F7" i="34" s="1"/>
  <c r="E6" i="34"/>
  <c r="F6" i="34" s="1"/>
  <c r="E5" i="34"/>
  <c r="F5" i="34" s="1"/>
  <c r="E4" i="34"/>
  <c r="F4" i="34" s="1"/>
  <c r="E3" i="34"/>
  <c r="F3" i="34" s="1"/>
  <c r="E2" i="34"/>
  <c r="F2" i="34" s="1"/>
  <c r="A3" i="34" s="1"/>
  <c r="D5" i="27"/>
  <c r="E4" i="27"/>
  <c r="F4" i="27" s="1"/>
  <c r="A5" i="27" s="1"/>
  <c r="E3" i="27"/>
  <c r="F3" i="27" s="1"/>
  <c r="E2" i="27"/>
  <c r="D73" i="33"/>
  <c r="E73" i="33" s="1"/>
  <c r="F73" i="33" s="1"/>
  <c r="E72" i="33"/>
  <c r="F72" i="33" s="1"/>
  <c r="A73" i="33" s="1"/>
  <c r="E71" i="33"/>
  <c r="F71" i="33" s="1"/>
  <c r="E70" i="33"/>
  <c r="F70" i="33" s="1"/>
  <c r="E69" i="33"/>
  <c r="F69" i="33" s="1"/>
  <c r="E68" i="33"/>
  <c r="F68" i="33" s="1"/>
  <c r="E67" i="33"/>
  <c r="F67" i="33" s="1"/>
  <c r="E66" i="33"/>
  <c r="F66" i="33" s="1"/>
  <c r="E65" i="33"/>
  <c r="F65" i="33" s="1"/>
  <c r="E64" i="33"/>
  <c r="F64" i="33" s="1"/>
  <c r="E63" i="33"/>
  <c r="F63" i="33" s="1"/>
  <c r="E62" i="33"/>
  <c r="F62" i="33" s="1"/>
  <c r="E61" i="33"/>
  <c r="F61" i="33" s="1"/>
  <c r="E60" i="33"/>
  <c r="F60" i="33" s="1"/>
  <c r="E59" i="33"/>
  <c r="F59" i="33" s="1"/>
  <c r="E58" i="33"/>
  <c r="F58" i="33" s="1"/>
  <c r="E57" i="33"/>
  <c r="F57" i="33" s="1"/>
  <c r="E56" i="33"/>
  <c r="F56" i="33" s="1"/>
  <c r="E55" i="33"/>
  <c r="F55" i="33" s="1"/>
  <c r="E54" i="33"/>
  <c r="F54" i="33" s="1"/>
  <c r="E53" i="33"/>
  <c r="F53" i="33" s="1"/>
  <c r="E52" i="33"/>
  <c r="F52" i="33" s="1"/>
  <c r="E51" i="33"/>
  <c r="F51" i="33" s="1"/>
  <c r="E50" i="33"/>
  <c r="F50" i="33" s="1"/>
  <c r="E49" i="33"/>
  <c r="F49" i="33" s="1"/>
  <c r="E48" i="33"/>
  <c r="F48" i="33" s="1"/>
  <c r="E47" i="33"/>
  <c r="F47" i="33" s="1"/>
  <c r="E46" i="33"/>
  <c r="F46" i="33" s="1"/>
  <c r="E45" i="33"/>
  <c r="F45" i="33" s="1"/>
  <c r="E44" i="33"/>
  <c r="F44" i="33" s="1"/>
  <c r="E43" i="33"/>
  <c r="F43" i="33" s="1"/>
  <c r="E42" i="33"/>
  <c r="F42" i="33" s="1"/>
  <c r="E41" i="33"/>
  <c r="F41" i="33" s="1"/>
  <c r="E40" i="33"/>
  <c r="F40" i="33" s="1"/>
  <c r="E39" i="33"/>
  <c r="F39" i="33" s="1"/>
  <c r="E38" i="33"/>
  <c r="F38" i="33" s="1"/>
  <c r="E37" i="33"/>
  <c r="F37" i="33" s="1"/>
  <c r="E36" i="33"/>
  <c r="F36" i="33" s="1"/>
  <c r="E35" i="33"/>
  <c r="F35" i="33" s="1"/>
  <c r="E34" i="33"/>
  <c r="F34" i="33" s="1"/>
  <c r="E33" i="33"/>
  <c r="F33" i="33" s="1"/>
  <c r="E32" i="33"/>
  <c r="F32" i="33" s="1"/>
  <c r="E31" i="33"/>
  <c r="F31" i="33" s="1"/>
  <c r="E30" i="33"/>
  <c r="F30" i="33" s="1"/>
  <c r="E29" i="33"/>
  <c r="F29" i="33" s="1"/>
  <c r="E28" i="33"/>
  <c r="F28" i="33" s="1"/>
  <c r="E27" i="33"/>
  <c r="F27" i="33" s="1"/>
  <c r="E26" i="33"/>
  <c r="F26" i="33" s="1"/>
  <c r="E25" i="33"/>
  <c r="F25" i="33" s="1"/>
  <c r="E24" i="33"/>
  <c r="F24" i="33" s="1"/>
  <c r="E23" i="33"/>
  <c r="F23" i="33" s="1"/>
  <c r="E22" i="33"/>
  <c r="F22" i="33" s="1"/>
  <c r="E21" i="33"/>
  <c r="F21" i="33" s="1"/>
  <c r="E20" i="33"/>
  <c r="F20" i="33" s="1"/>
  <c r="E19" i="33"/>
  <c r="F19" i="33" s="1"/>
  <c r="E18" i="33"/>
  <c r="F18" i="33" s="1"/>
  <c r="E17" i="33"/>
  <c r="F17" i="33" s="1"/>
  <c r="E16" i="33"/>
  <c r="F16" i="33" s="1"/>
  <c r="E15" i="33"/>
  <c r="F15" i="33" s="1"/>
  <c r="E14" i="33"/>
  <c r="F14" i="33" s="1"/>
  <c r="E13" i="33"/>
  <c r="F13" i="33" s="1"/>
  <c r="E12" i="33"/>
  <c r="F12" i="33" s="1"/>
  <c r="E11" i="33"/>
  <c r="F11" i="33" s="1"/>
  <c r="E10" i="33"/>
  <c r="F10" i="33" s="1"/>
  <c r="E9" i="33"/>
  <c r="F9" i="33" s="1"/>
  <c r="E8" i="33"/>
  <c r="F8" i="33" s="1"/>
  <c r="E7" i="33"/>
  <c r="F7" i="33" s="1"/>
  <c r="E6" i="33"/>
  <c r="F6" i="33" s="1"/>
  <c r="E5" i="33"/>
  <c r="F5" i="33" s="1"/>
  <c r="E4" i="33"/>
  <c r="F4" i="33" s="1"/>
  <c r="E3" i="33"/>
  <c r="F3" i="33" s="1"/>
  <c r="E2" i="33"/>
  <c r="F2" i="33" s="1"/>
  <c r="D45" i="32"/>
  <c r="E45" i="32" s="1"/>
  <c r="F45" i="32" s="1"/>
  <c r="E44" i="32"/>
  <c r="F44" i="32" s="1"/>
  <c r="E43" i="32"/>
  <c r="F43" i="32" s="1"/>
  <c r="E42" i="32"/>
  <c r="F42" i="32" s="1"/>
  <c r="E41" i="32"/>
  <c r="F41" i="32" s="1"/>
  <c r="E40" i="32"/>
  <c r="F40" i="32" s="1"/>
  <c r="E39" i="32"/>
  <c r="F39" i="32" s="1"/>
  <c r="E38" i="32"/>
  <c r="F38" i="32" s="1"/>
  <c r="E37" i="32"/>
  <c r="F37" i="32" s="1"/>
  <c r="E36" i="32"/>
  <c r="F36" i="32" s="1"/>
  <c r="E35" i="32"/>
  <c r="F35" i="32" s="1"/>
  <c r="E34" i="32"/>
  <c r="F34" i="32" s="1"/>
  <c r="E33" i="32"/>
  <c r="F33" i="32" s="1"/>
  <c r="E32" i="32"/>
  <c r="F32" i="32" s="1"/>
  <c r="E31" i="32"/>
  <c r="F31" i="32" s="1"/>
  <c r="E30" i="32"/>
  <c r="F30" i="32" s="1"/>
  <c r="E29" i="32"/>
  <c r="F29" i="32" s="1"/>
  <c r="E28" i="32"/>
  <c r="F28" i="32" s="1"/>
  <c r="E27" i="32"/>
  <c r="F27" i="32" s="1"/>
  <c r="E26" i="32"/>
  <c r="F26" i="32" s="1"/>
  <c r="E25" i="32"/>
  <c r="F25" i="32" s="1"/>
  <c r="E24" i="32"/>
  <c r="F24" i="32" s="1"/>
  <c r="E23" i="32"/>
  <c r="F23" i="32" s="1"/>
  <c r="E22" i="32"/>
  <c r="F22" i="32" s="1"/>
  <c r="E21" i="32"/>
  <c r="F21" i="32" s="1"/>
  <c r="E20" i="32"/>
  <c r="F20" i="32" s="1"/>
  <c r="E19" i="32"/>
  <c r="F19" i="32" s="1"/>
  <c r="E18" i="32"/>
  <c r="F18" i="32" s="1"/>
  <c r="E17" i="32"/>
  <c r="F17" i="32" s="1"/>
  <c r="E16" i="32"/>
  <c r="F16" i="32" s="1"/>
  <c r="E15" i="32"/>
  <c r="F15" i="32" s="1"/>
  <c r="E14" i="32"/>
  <c r="F14" i="32" s="1"/>
  <c r="E13" i="32"/>
  <c r="F13" i="32" s="1"/>
  <c r="E12" i="32"/>
  <c r="F12" i="32" s="1"/>
  <c r="E11" i="32"/>
  <c r="F11" i="32" s="1"/>
  <c r="E10" i="32"/>
  <c r="F10" i="32" s="1"/>
  <c r="E9" i="32"/>
  <c r="F9" i="32" s="1"/>
  <c r="E8" i="32"/>
  <c r="F8" i="32" s="1"/>
  <c r="E7" i="32"/>
  <c r="F7" i="32" s="1"/>
  <c r="E6" i="32"/>
  <c r="F6" i="32" s="1"/>
  <c r="E5" i="32"/>
  <c r="F5" i="32" s="1"/>
  <c r="E4" i="32"/>
  <c r="F4" i="32" s="1"/>
  <c r="E3" i="32"/>
  <c r="F3" i="32" s="1"/>
  <c r="E2" i="32"/>
  <c r="F2" i="32" s="1"/>
  <c r="D147" i="31"/>
  <c r="E147" i="31" s="1"/>
  <c r="F147" i="31" s="1"/>
  <c r="E146" i="31"/>
  <c r="F146" i="31" s="1"/>
  <c r="A147" i="31" s="1"/>
  <c r="E145" i="31"/>
  <c r="F145" i="31" s="1"/>
  <c r="E144" i="31"/>
  <c r="F144" i="31" s="1"/>
  <c r="E143" i="31"/>
  <c r="F143" i="31" s="1"/>
  <c r="E142" i="31"/>
  <c r="F142" i="31" s="1"/>
  <c r="E141" i="31"/>
  <c r="F141" i="31" s="1"/>
  <c r="E140" i="31"/>
  <c r="F140" i="31" s="1"/>
  <c r="E139" i="31"/>
  <c r="F139" i="31" s="1"/>
  <c r="E138" i="31"/>
  <c r="F138" i="31" s="1"/>
  <c r="E137" i="31"/>
  <c r="F137" i="31" s="1"/>
  <c r="E136" i="31"/>
  <c r="F136" i="31" s="1"/>
  <c r="E135" i="31"/>
  <c r="F135" i="31" s="1"/>
  <c r="E134" i="31"/>
  <c r="F134" i="31" s="1"/>
  <c r="E133" i="31"/>
  <c r="F133" i="31" s="1"/>
  <c r="E132" i="31"/>
  <c r="F132" i="31" s="1"/>
  <c r="E131" i="31"/>
  <c r="F131" i="31" s="1"/>
  <c r="E130" i="31"/>
  <c r="F130" i="31" s="1"/>
  <c r="E129" i="31"/>
  <c r="F129" i="31" s="1"/>
  <c r="E128" i="31"/>
  <c r="F128" i="31" s="1"/>
  <c r="E127" i="31"/>
  <c r="F127" i="31" s="1"/>
  <c r="E126" i="31"/>
  <c r="F126" i="31" s="1"/>
  <c r="E125" i="31"/>
  <c r="F125" i="31" s="1"/>
  <c r="E124" i="31"/>
  <c r="F124" i="31" s="1"/>
  <c r="E123" i="31"/>
  <c r="F123" i="31" s="1"/>
  <c r="E122" i="31"/>
  <c r="F122" i="31" s="1"/>
  <c r="E121" i="31"/>
  <c r="F121" i="31" s="1"/>
  <c r="E120" i="31"/>
  <c r="F120" i="31" s="1"/>
  <c r="E119" i="31"/>
  <c r="F119" i="31" s="1"/>
  <c r="E118" i="31"/>
  <c r="F118" i="31" s="1"/>
  <c r="E117" i="31"/>
  <c r="F117" i="31" s="1"/>
  <c r="E116" i="31"/>
  <c r="F116" i="31" s="1"/>
  <c r="E115" i="31"/>
  <c r="F115" i="31" s="1"/>
  <c r="E114" i="31"/>
  <c r="F114" i="31" s="1"/>
  <c r="E113" i="31"/>
  <c r="F113" i="31" s="1"/>
  <c r="E112" i="31"/>
  <c r="F112" i="31" s="1"/>
  <c r="E111" i="31"/>
  <c r="F111" i="31" s="1"/>
  <c r="E110" i="31"/>
  <c r="F110" i="31" s="1"/>
  <c r="E109" i="31"/>
  <c r="F109" i="31" s="1"/>
  <c r="E108" i="31"/>
  <c r="F108" i="31" s="1"/>
  <c r="E107" i="31"/>
  <c r="F107" i="31" s="1"/>
  <c r="E106" i="31"/>
  <c r="F106" i="31" s="1"/>
  <c r="E105" i="31"/>
  <c r="F105" i="31" s="1"/>
  <c r="E104" i="31"/>
  <c r="F104" i="31" s="1"/>
  <c r="E103" i="31"/>
  <c r="F103" i="31" s="1"/>
  <c r="E102" i="31"/>
  <c r="F102" i="31" s="1"/>
  <c r="E101" i="31"/>
  <c r="F101" i="31" s="1"/>
  <c r="E100" i="31"/>
  <c r="F100" i="31" s="1"/>
  <c r="E99" i="31"/>
  <c r="F99" i="31" s="1"/>
  <c r="E98" i="31"/>
  <c r="F98" i="31" s="1"/>
  <c r="E97" i="31"/>
  <c r="F97" i="31" s="1"/>
  <c r="E96" i="31"/>
  <c r="F96" i="31" s="1"/>
  <c r="E95" i="31"/>
  <c r="F95" i="31" s="1"/>
  <c r="E94" i="31"/>
  <c r="F94" i="31" s="1"/>
  <c r="E93" i="31"/>
  <c r="F93" i="31" s="1"/>
  <c r="E92" i="31"/>
  <c r="F92" i="31" s="1"/>
  <c r="E91" i="31"/>
  <c r="F91" i="31" s="1"/>
  <c r="E90" i="31"/>
  <c r="F90" i="31" s="1"/>
  <c r="E89" i="31"/>
  <c r="F89" i="31" s="1"/>
  <c r="E88" i="31"/>
  <c r="F88" i="31" s="1"/>
  <c r="E87" i="31"/>
  <c r="F87" i="31" s="1"/>
  <c r="E86" i="31"/>
  <c r="F86" i="31" s="1"/>
  <c r="E85" i="31"/>
  <c r="F85" i="31" s="1"/>
  <c r="E84" i="31"/>
  <c r="F84" i="31" s="1"/>
  <c r="E83" i="31"/>
  <c r="F83" i="31" s="1"/>
  <c r="E82" i="31"/>
  <c r="F82" i="31" s="1"/>
  <c r="E81" i="31"/>
  <c r="F81" i="31" s="1"/>
  <c r="E80" i="31"/>
  <c r="F80" i="31" s="1"/>
  <c r="E79" i="31"/>
  <c r="F79" i="31" s="1"/>
  <c r="E78" i="31"/>
  <c r="F78" i="31" s="1"/>
  <c r="E77" i="31"/>
  <c r="F77" i="31" s="1"/>
  <c r="E76" i="31"/>
  <c r="F76" i="31" s="1"/>
  <c r="E75" i="31"/>
  <c r="F75" i="31" s="1"/>
  <c r="E74" i="31"/>
  <c r="F74" i="31" s="1"/>
  <c r="E73" i="31"/>
  <c r="F73" i="31" s="1"/>
  <c r="E72" i="31"/>
  <c r="F72" i="31" s="1"/>
  <c r="E71" i="31"/>
  <c r="F71" i="31" s="1"/>
  <c r="E70" i="31"/>
  <c r="F70" i="31" s="1"/>
  <c r="E69" i="31"/>
  <c r="F69" i="31" s="1"/>
  <c r="E68" i="31"/>
  <c r="F68" i="31" s="1"/>
  <c r="E67" i="31"/>
  <c r="F67" i="31" s="1"/>
  <c r="E66" i="31"/>
  <c r="F66" i="31" s="1"/>
  <c r="E65" i="31"/>
  <c r="F65" i="31" s="1"/>
  <c r="E64" i="31"/>
  <c r="F64" i="31" s="1"/>
  <c r="E63" i="31"/>
  <c r="F63" i="31" s="1"/>
  <c r="E62" i="31"/>
  <c r="F62" i="31" s="1"/>
  <c r="E61" i="31"/>
  <c r="F61" i="31" s="1"/>
  <c r="E60" i="31"/>
  <c r="F60" i="31" s="1"/>
  <c r="E59" i="31"/>
  <c r="F59" i="31" s="1"/>
  <c r="E58" i="31"/>
  <c r="F58" i="31" s="1"/>
  <c r="E57" i="31"/>
  <c r="F57" i="31" s="1"/>
  <c r="E56" i="31"/>
  <c r="F56" i="31" s="1"/>
  <c r="E55" i="31"/>
  <c r="F55" i="31" s="1"/>
  <c r="E54" i="31"/>
  <c r="F54" i="31" s="1"/>
  <c r="E53" i="31"/>
  <c r="F53" i="31" s="1"/>
  <c r="E52" i="31"/>
  <c r="F52" i="31" s="1"/>
  <c r="E51" i="31"/>
  <c r="F51" i="31" s="1"/>
  <c r="E50" i="31"/>
  <c r="F50" i="31" s="1"/>
  <c r="E49" i="31"/>
  <c r="F49" i="31" s="1"/>
  <c r="E48" i="31"/>
  <c r="F48" i="31" s="1"/>
  <c r="E47" i="31"/>
  <c r="F47" i="31" s="1"/>
  <c r="E46" i="31"/>
  <c r="F46" i="31" s="1"/>
  <c r="E45" i="31"/>
  <c r="F45" i="31" s="1"/>
  <c r="E44" i="31"/>
  <c r="F44" i="31" s="1"/>
  <c r="E43" i="31"/>
  <c r="F43" i="31" s="1"/>
  <c r="E42" i="31"/>
  <c r="F42" i="31" s="1"/>
  <c r="E41" i="31"/>
  <c r="F41" i="31" s="1"/>
  <c r="E40" i="31"/>
  <c r="F40" i="31" s="1"/>
  <c r="E39" i="31"/>
  <c r="F39" i="31" s="1"/>
  <c r="E38" i="31"/>
  <c r="F38" i="31" s="1"/>
  <c r="E37" i="31"/>
  <c r="F37" i="31" s="1"/>
  <c r="E36" i="31"/>
  <c r="F36" i="31" s="1"/>
  <c r="E35" i="31"/>
  <c r="F35" i="31" s="1"/>
  <c r="E34" i="31"/>
  <c r="F34" i="31" s="1"/>
  <c r="E33" i="31"/>
  <c r="F33" i="31" s="1"/>
  <c r="E32" i="31"/>
  <c r="F32" i="31" s="1"/>
  <c r="E31" i="31"/>
  <c r="F31" i="31" s="1"/>
  <c r="E30" i="31"/>
  <c r="F30" i="31" s="1"/>
  <c r="E29" i="31"/>
  <c r="F29" i="31" s="1"/>
  <c r="E28" i="31"/>
  <c r="F28" i="31" s="1"/>
  <c r="E27" i="31"/>
  <c r="F27" i="31" s="1"/>
  <c r="E26" i="31"/>
  <c r="F26" i="31" s="1"/>
  <c r="E25" i="31"/>
  <c r="F25" i="31" s="1"/>
  <c r="E24" i="31"/>
  <c r="F24" i="31" s="1"/>
  <c r="E23" i="31"/>
  <c r="F23" i="31" s="1"/>
  <c r="E22" i="31"/>
  <c r="F22" i="31" s="1"/>
  <c r="E21" i="31"/>
  <c r="F21" i="31" s="1"/>
  <c r="E20" i="31"/>
  <c r="F20" i="31" s="1"/>
  <c r="E19" i="31"/>
  <c r="F19" i="31" s="1"/>
  <c r="E18" i="31"/>
  <c r="F18" i="31" s="1"/>
  <c r="E17" i="31"/>
  <c r="F17" i="31" s="1"/>
  <c r="A18" i="31" s="1"/>
  <c r="E16" i="31"/>
  <c r="F16" i="31" s="1"/>
  <c r="E15" i="31"/>
  <c r="F15" i="31" s="1"/>
  <c r="E14" i="31"/>
  <c r="F14" i="31" s="1"/>
  <c r="E13" i="31"/>
  <c r="F13" i="31" s="1"/>
  <c r="E12" i="31"/>
  <c r="F12" i="31" s="1"/>
  <c r="E11" i="31"/>
  <c r="F11" i="31" s="1"/>
  <c r="E10" i="31"/>
  <c r="F10" i="31" s="1"/>
  <c r="E9" i="31"/>
  <c r="F9" i="31" s="1"/>
  <c r="E8" i="31"/>
  <c r="F8" i="31" s="1"/>
  <c r="E7" i="31"/>
  <c r="F7" i="31" s="1"/>
  <c r="E6" i="31"/>
  <c r="F6" i="31" s="1"/>
  <c r="E5" i="31"/>
  <c r="F5" i="31" s="1"/>
  <c r="E4" i="31"/>
  <c r="F4" i="31" s="1"/>
  <c r="E3" i="31"/>
  <c r="F3" i="31" s="1"/>
  <c r="E2" i="31"/>
  <c r="F2" i="31" s="1"/>
  <c r="D3" i="26"/>
  <c r="E2" i="26"/>
  <c r="E3" i="26" s="1"/>
  <c r="E14" i="6"/>
  <c r="F13" i="6"/>
  <c r="D13" i="6" s="1"/>
  <c r="F12" i="6"/>
  <c r="D12" i="6" s="1"/>
  <c r="F11" i="6"/>
  <c r="D11" i="6" s="1"/>
  <c r="F10" i="6"/>
  <c r="D10" i="6" s="1"/>
  <c r="F9" i="6"/>
  <c r="D9" i="6" s="1"/>
  <c r="F8" i="6"/>
  <c r="D8" i="6" s="1"/>
  <c r="F7" i="6"/>
  <c r="D7" i="6" s="1"/>
  <c r="F6" i="6"/>
  <c r="F5" i="6"/>
  <c r="D5" i="6" s="1"/>
  <c r="B6" i="6" s="1"/>
  <c r="C5" i="6" s="1"/>
  <c r="D13" i="22"/>
  <c r="D14" i="22" s="1"/>
  <c r="E14" i="22" s="1"/>
  <c r="F14" i="22" s="1"/>
  <c r="A14" i="22" s="1"/>
  <c r="E12" i="22"/>
  <c r="F12" i="22" s="1"/>
  <c r="E11" i="22"/>
  <c r="F11" i="22" s="1"/>
  <c r="E10" i="22"/>
  <c r="F10" i="22" s="1"/>
  <c r="E9" i="22"/>
  <c r="F9" i="22" s="1"/>
  <c r="E8" i="22"/>
  <c r="F8" i="22" s="1"/>
  <c r="E7" i="22"/>
  <c r="F7" i="22" s="1"/>
  <c r="E6" i="22"/>
  <c r="F6" i="22" s="1"/>
  <c r="E5" i="22"/>
  <c r="F5" i="22" s="1"/>
  <c r="E4" i="22"/>
  <c r="F4" i="22" s="1"/>
  <c r="E3" i="22"/>
  <c r="F3" i="22" s="1"/>
  <c r="E2" i="22"/>
  <c r="F2" i="22" s="1"/>
  <c r="A3" i="22" s="1"/>
  <c r="E5" i="27" l="1"/>
  <c r="E13" i="22"/>
  <c r="F13" i="22" s="1"/>
  <c r="A4" i="15"/>
  <c r="A5" i="15" s="1"/>
  <c r="A6" i="15" s="1"/>
  <c r="A7" i="15" s="1"/>
  <c r="A8" i="15" s="1"/>
  <c r="A9" i="15" s="1"/>
  <c r="A10" i="15" s="1"/>
  <c r="A11" i="15" s="1"/>
  <c r="A12" i="15" s="1"/>
  <c r="A13" i="15" s="1"/>
  <c r="F14" i="6"/>
  <c r="E8" i="30"/>
  <c r="D6" i="6"/>
  <c r="B7" i="6" s="1"/>
  <c r="C6" i="6" s="1"/>
  <c r="F2" i="26"/>
  <c r="F3" i="26" s="1"/>
  <c r="D4" i="26" s="1"/>
  <c r="E4" i="26" s="1"/>
  <c r="F4" i="26" s="1"/>
  <c r="A4" i="26" s="1"/>
  <c r="A4" i="34"/>
  <c r="A5" i="34" s="1"/>
  <c r="A6" i="34" s="1"/>
  <c r="A7" i="34" s="1"/>
  <c r="A8" i="34" s="1"/>
  <c r="A9" i="34" s="1"/>
  <c r="A10" i="34" s="1"/>
  <c r="A11" i="34" s="1"/>
  <c r="A12" i="34" s="1"/>
  <c r="A13" i="34" s="1"/>
  <c r="A14" i="34" s="1"/>
  <c r="A15" i="34" s="1"/>
  <c r="A16" i="34" s="1"/>
  <c r="A17" i="34" s="1"/>
  <c r="A18" i="34" s="1"/>
  <c r="A19" i="34" s="1"/>
  <c r="A20" i="34" s="1"/>
  <c r="A21" i="34" s="1"/>
  <c r="A22" i="34" s="1"/>
  <c r="A23" i="34" s="1"/>
  <c r="A24" i="34" s="1"/>
  <c r="A25" i="34" s="1"/>
  <c r="A26" i="34" s="1"/>
  <c r="A27" i="34" s="1"/>
  <c r="A28" i="34" s="1"/>
  <c r="A29" i="34" s="1"/>
  <c r="A30" i="34" s="1"/>
  <c r="A31" i="34" s="1"/>
  <c r="A32" i="34" s="1"/>
  <c r="A33" i="34" s="1"/>
  <c r="A34" i="34" s="1"/>
  <c r="A35" i="34" s="1"/>
  <c r="A36" i="34" s="1"/>
  <c r="A37" i="34" s="1"/>
  <c r="A38" i="34" s="1"/>
  <c r="A39" i="34" s="1"/>
  <c r="A40" i="34" s="1"/>
  <c r="A41" i="34" s="1"/>
  <c r="A42" i="34" s="1"/>
  <c r="A43" i="34" s="1"/>
  <c r="A44" i="34" s="1"/>
  <c r="A4" i="22"/>
  <c r="A5" i="22" s="1"/>
  <c r="A6" i="22" s="1"/>
  <c r="A7" i="22" s="1"/>
  <c r="A8" i="22" s="1"/>
  <c r="A19" i="31"/>
  <c r="F2" i="30"/>
  <c r="F2" i="27"/>
  <c r="F5" i="27" s="1"/>
  <c r="D6" i="27" s="1"/>
  <c r="E6" i="27" s="1"/>
  <c r="F6" i="27" s="1"/>
  <c r="A6" i="27" s="1"/>
  <c r="A3" i="26"/>
  <c r="D14" i="6" l="1"/>
  <c r="B8" i="6"/>
  <c r="A10" i="22"/>
  <c r="A9" i="22"/>
  <c r="A11" i="22" s="1"/>
  <c r="A12" i="22" s="1"/>
  <c r="A13" i="22" s="1"/>
  <c r="F8" i="30"/>
  <c r="D9" i="30" s="1"/>
  <c r="E9" i="30" s="1"/>
  <c r="F9" i="30" s="1"/>
  <c r="A3" i="30"/>
  <c r="A4" i="30" s="1"/>
  <c r="A5" i="30" s="1"/>
  <c r="A6" i="30" s="1"/>
  <c r="A7" i="30" s="1"/>
  <c r="A8" i="30" s="1"/>
  <c r="C7" i="6" l="1"/>
  <c r="B9" i="6"/>
  <c r="C8" i="6" l="1"/>
  <c r="B10" i="6"/>
  <c r="C9" i="6" l="1"/>
  <c r="B11" i="6"/>
  <c r="C10" i="6" l="1"/>
  <c r="B12" i="6"/>
  <c r="C11" i="6" l="1"/>
  <c r="B13" i="6"/>
  <c r="B14" i="6" l="1"/>
  <c r="C13" i="6" s="1"/>
  <c r="C12" i="6"/>
</calcChain>
</file>

<file path=xl/sharedStrings.xml><?xml version="1.0" encoding="utf-8"?>
<sst xmlns="http://schemas.openxmlformats.org/spreadsheetml/2006/main" count="1476" uniqueCount="752">
  <si>
    <t>High Level overview of OTP memory layout</t>
    <phoneticPr fontId="1" type="noConversion"/>
  </si>
  <si>
    <t>Version</t>
    <phoneticPr fontId="1" type="noConversion"/>
  </si>
  <si>
    <t>OTP Region</t>
    <phoneticPr fontId="1" type="noConversion"/>
  </si>
  <si>
    <t>Start (W)</t>
    <phoneticPr fontId="1" type="noConversion"/>
  </si>
  <si>
    <t>End (W)</t>
    <phoneticPr fontId="1" type="noConversion"/>
  </si>
  <si>
    <t>Size (W)</t>
    <phoneticPr fontId="1" type="noConversion"/>
  </si>
  <si>
    <t>Size (Bit)</t>
    <phoneticPr fontId="1" type="noConversion"/>
  </si>
  <si>
    <t>Size (Byte)</t>
    <phoneticPr fontId="1" type="noConversion"/>
  </si>
  <si>
    <t>OTPROM</t>
    <phoneticPr fontId="1" type="noConversion"/>
  </si>
  <si>
    <t>OTPRBP</t>
    <phoneticPr fontId="1" type="noConversion"/>
  </si>
  <si>
    <t>OTPCFG</t>
    <phoneticPr fontId="1" type="noConversion"/>
  </si>
  <si>
    <t>OTPSTRAP</t>
    <phoneticPr fontId="1" type="noConversion"/>
  </si>
  <si>
    <t>OTPUSR</t>
    <phoneticPr fontId="1" type="noConversion"/>
  </si>
  <si>
    <t>OTPSEC</t>
    <phoneticPr fontId="1" type="noConversion"/>
  </si>
  <si>
    <t>OTPCAL</t>
    <phoneticPr fontId="1" type="noConversion"/>
  </si>
  <si>
    <t>OTPPUF</t>
    <phoneticPr fontId="1" type="noConversion"/>
  </si>
  <si>
    <t>end</t>
    <phoneticPr fontId="1" type="noConversion"/>
  </si>
  <si>
    <t>Name</t>
  </si>
  <si>
    <t>Description</t>
    <phoneticPr fontId="1" type="noConversion"/>
  </si>
  <si>
    <t>Note</t>
    <phoneticPr fontId="1" type="noConversion"/>
  </si>
  <si>
    <t>0</t>
    <phoneticPr fontId="1" type="noConversion"/>
  </si>
  <si>
    <t>ROM patch</t>
    <phoneticPr fontId="1" type="noConversion"/>
  </si>
  <si>
    <t>Sum</t>
  </si>
  <si>
    <t>Actual</t>
    <phoneticPr fontId="1" type="noConversion"/>
  </si>
  <si>
    <t>3E0</t>
    <phoneticPr fontId="1" type="noConversion"/>
  </si>
  <si>
    <t>Reserved</t>
    <phoneticPr fontId="1" type="noConversion"/>
  </si>
  <si>
    <t>Reserved</t>
  </si>
  <si>
    <t>Secure Boot - key retire</t>
    <phoneticPr fontId="1" type="noConversion"/>
  </si>
  <si>
    <t>SoC Manifest Hardware SVN</t>
    <phoneticPr fontId="1" type="noConversion"/>
  </si>
  <si>
    <t>Secure Boot - SVN</t>
    <phoneticPr fontId="1" type="noConversion"/>
  </si>
  <si>
    <t>Caliptra FMC Hardware SVN</t>
  </si>
  <si>
    <t>Caliptra fuse: FMC KEY MANIFEST SVN
Effect: Secure boot is enabled
Policy: FMC SVN &gt;= HW FMC SVN</t>
  </si>
  <si>
    <t>Caliptra Runtime Hardware SVN</t>
  </si>
  <si>
    <t>Caliptra Manufacture ECC key mask</t>
  </si>
  <si>
    <t>Caliptra fuse: KEY MANIFEST PK HASH MASK</t>
    <phoneticPr fontId="1" type="noConversion"/>
  </si>
  <si>
    <t>Secure Boot - key retire</t>
  </si>
  <si>
    <t>Caliptra Manufacture LMS key mask</t>
  </si>
  <si>
    <t>Caliptra fuse: LMS REVOCATION</t>
    <phoneticPr fontId="1" type="noConversion"/>
  </si>
  <si>
    <t>otp_mem_lock_enable</t>
    <phoneticPr fontId="6" type="noConversion"/>
  </si>
  <si>
    <t>OTP memory lock enable
This bit will lock whole OTP memory and is un recoverable</t>
    <phoneticPr fontId="6" type="noConversion"/>
  </si>
  <si>
    <t>wr_protect_puf</t>
    <phoneticPr fontId="1" type="noConversion"/>
  </si>
  <si>
    <t>Enable static write protection of OTPPUF region
It's enabled during ASPEED manufacturing.</t>
    <phoneticPr fontId="0" type="noConversion"/>
  </si>
  <si>
    <t>dis_otp_bist</t>
    <phoneticPr fontId="6" type="noConversion"/>
  </si>
  <si>
    <t>wr_protect_caliptra</t>
  </si>
  <si>
    <t>Enable static write protection of OTPCAL region
Once it's enabled, no one can prog the OTPCAL region anymore.</t>
    <phoneticPr fontId="0" type="noConversion"/>
  </si>
  <si>
    <t>rd_protect_caliptra</t>
  </si>
  <si>
    <t>Enable static read protect of OTPCAL region
Once it's enabled, no one can read the OTPCAL region anymore.
Notice that it might affect the attestation process, because on one can read it at runtime.</t>
    <phoneticPr fontId="0" type="noConversion"/>
  </si>
  <si>
    <t>wr_protect_otp_rbp</t>
    <phoneticPr fontId="1" type="noConversion"/>
  </si>
  <si>
    <t>Enable static write protection of OTPRBP region
Once it's enabled, no one can prog the OTPRBP region anymore.</t>
    <phoneticPr fontId="0" type="noConversion"/>
  </si>
  <si>
    <t>enable_secure_boot</t>
    <phoneticPr fontId="6" type="noConversion"/>
  </si>
  <si>
    <t>wr_protect_otp_strap</t>
    <phoneticPr fontId="6" type="noConversion"/>
  </si>
  <si>
    <t>Enable static write protection of OTPSTRAP region
Once it's enabled, no one can prog the OTPSTRAP region anymore.</t>
    <phoneticPr fontId="0" type="noConversion"/>
  </si>
  <si>
    <t>wr_protect_otp_cfg</t>
    <phoneticPr fontId="6" type="noConversion"/>
  </si>
  <si>
    <t>Enable static write protection of OTPCFG region
Once it's enabled, no one can prog the OTPCFG region anymore.</t>
    <phoneticPr fontId="0" type="noConversion"/>
  </si>
  <si>
    <t>wr_protect_rom</t>
    <phoneticPr fontId="6" type="noConversion"/>
  </si>
  <si>
    <t>Enable static write protection of OTPROM region
Once it's enabled, no one can prog the OTPROM region anymore.
It's enabled in AST27x0-A1 chip during ASPEED manufacturing.</t>
    <phoneticPr fontId="0" type="noConversion"/>
  </si>
  <si>
    <t>wr_protect_otp_strap_ext</t>
  </si>
  <si>
    <t>Enable static write protection of OTPSTRAP_EXT region
Once it's enabled, no one can prog the OTPSTRAP_EXT region anymore.</t>
    <phoneticPr fontId="0" type="noConversion"/>
  </si>
  <si>
    <t>rd_protect_otp_strap</t>
    <phoneticPr fontId="6" type="noConversion"/>
  </si>
  <si>
    <t>Enable static read protection of OTPSTRAP region
Once it's enabled, no one can read the OTPSTRAP region anymore.</t>
    <phoneticPr fontId="0" type="noConversion"/>
  </si>
  <si>
    <t>rd_protect_otp_cfg</t>
    <phoneticPr fontId="6" type="noConversion"/>
  </si>
  <si>
    <t>Enable static read protection of OTPCFG region
Once it's enabled, no one can read the OTPCFG region anymore.</t>
    <phoneticPr fontId="0" type="noConversion"/>
  </si>
  <si>
    <t>rd_protect_rom</t>
    <phoneticPr fontId="6" type="noConversion"/>
  </si>
  <si>
    <t>Enable static read protection of OTPROM region
Once it's enabled, no one can read the OTPROM region anymore.</t>
    <phoneticPr fontId="0" type="noConversion"/>
  </si>
  <si>
    <t>rd_protect_otp_strap_ext</t>
  </si>
  <si>
    <t>Enable static read protection of OTPSTRAP_EXT region
Once it's enabled, no one can read the OTPSTRAP_EXT region anymore.</t>
    <phoneticPr fontId="0" type="noConversion"/>
  </si>
  <si>
    <t>CONCFG0_BK</t>
    <phoneticPr fontId="6" type="noConversion"/>
  </si>
  <si>
    <t>Read OTPCFG0 = OTPCFG0 | OTPCFG1
This is a backup of OTPCFG0</t>
    <phoneticPr fontId="0" type="noConversion"/>
  </si>
  <si>
    <t>puf_source</t>
    <phoneticPr fontId="1" type="noConversion"/>
  </si>
  <si>
    <t>0: NIST-TRNG
1: SCU-TRNG</t>
    <phoneticPr fontId="1" type="noConversion"/>
  </si>
  <si>
    <t>dev_life_cycle_state</t>
    <phoneticPr fontId="1" type="noConversion"/>
  </si>
  <si>
    <t>Boot From UART Port Selection</t>
  </si>
  <si>
    <t>Boot From UART Port Selection
0: IO12 (BMC default port)
1: IO0 (Node 0 SUART common port)
2: IO5 (Node 1 SUART common port)</t>
  </si>
  <si>
    <t>en_emmc_sw_reset</t>
  </si>
  <si>
    <t>dis_boot_msg</t>
  </si>
  <si>
    <t>Disable Uart Message of Boot ROM
0:Boot ROM will dump boot messages
1:Boot ROM message is disabled</t>
  </si>
  <si>
    <t>dis_recovery_mode</t>
  </si>
  <si>
    <t>Disable Recovery mode (Uart/USB/I2C/I3C)
0: enable recovery mode
1: disable recovery mode
When recovery mode is enabled (hardware strap pin FWSPICK is pulled high), the boot ROM fetches images from recovery interface and boots.
Once it's disabled, the boot ROM cannot fetch images from any recovery interface, no matter which one is chosen.</t>
    <phoneticPr fontId="0" type="noConversion"/>
  </si>
  <si>
    <t>dis_rom_patch</t>
  </si>
  <si>
    <t>CONCFG2_BK</t>
  </si>
  <si>
    <t>Read OTPCFG2 = OTPCFG2 | OTPCFG3
This is a backup of OTPCFG2</t>
    <phoneticPr fontId="0" type="noConversion"/>
  </si>
  <si>
    <t>OTP Patch Code location 1</t>
  </si>
  <si>
    <t>OTP patch code offset
The OTP patch code location in OTPROM Region.</t>
  </si>
  <si>
    <t>otp_patch_vld 1</t>
  </si>
  <si>
    <t>OTP Patch Size 1</t>
  </si>
  <si>
    <t>OTP Patch Code location 2</t>
  </si>
  <si>
    <t>otp_patch_vld 2</t>
  </si>
  <si>
    <t>Enable otp patch 2
0: otp rom patch 2 is invalid
1: otp rom patch 2 is valid</t>
  </si>
  <si>
    <t>OTP Patch Size 2</t>
  </si>
  <si>
    <t>Enable Read protect for OTP region user 0</t>
    <phoneticPr fontId="1" type="noConversion"/>
  </si>
  <si>
    <t>Enable Write protect for OTP region user 0</t>
    <phoneticPr fontId="1" type="noConversion"/>
  </si>
  <si>
    <t>rd_protect_otp_secure0</t>
  </si>
  <si>
    <t>Enable Read protect for OTP region secure 0</t>
    <phoneticPr fontId="1" type="noConversion"/>
  </si>
  <si>
    <t>wr_protect_otp_secure0</t>
  </si>
  <si>
    <t>Enable Write protect for OTP region secure 0</t>
    <phoneticPr fontId="1" type="noConversion"/>
  </si>
  <si>
    <t>secure0_region_start_offset</t>
  </si>
  <si>
    <t>Secure 0 region start offset (unit: word)</t>
    <phoneticPr fontId="1" type="noConversion"/>
  </si>
  <si>
    <t>secure0_region_size</t>
  </si>
  <si>
    <t>Secure 0 region size (unit: word)</t>
    <phoneticPr fontId="1" type="noConversion"/>
  </si>
  <si>
    <t>i3c_i2c_identify</t>
  </si>
  <si>
    <t>i3c: DCR
i2c: Slave address</t>
    <phoneticPr fontId="0" type="noConversion"/>
  </si>
  <si>
    <t>i3c_hj_req</t>
  </si>
  <si>
    <t>i3c hot-join request enable</t>
    <phoneticPr fontId="0" type="noConversion"/>
  </si>
  <si>
    <t>i3c_i2c_channel</t>
  </si>
  <si>
    <t>i3c/i2c channel used for recovery</t>
    <phoneticPr fontId="0" type="noConversion"/>
  </si>
  <si>
    <t>usb_uart6_mode_lsb</t>
    <phoneticPr fontId="1" type="noConversion"/>
  </si>
  <si>
    <t>UART6 Mode - lsb (bit0)
b'00: UART and Device both not connected
b'01: UART Real mode, and Device connected
b'10: UART Pseduo mode, and Device connected
b'11: UART not connected, but Device connected</t>
    <phoneticPr fontId="1" type="noConversion"/>
  </si>
  <si>
    <t>usb_uart5_tx_discard_off</t>
    <phoneticPr fontId="1" type="noConversion"/>
  </si>
  <si>
    <t>usb_uart5_mode</t>
    <phoneticPr fontId="1" type="noConversion"/>
  </si>
  <si>
    <t>UART5 Mode
b'00: UART and Device both not connected
b'01: UART Real mode, and Device connected
b'10: UART Pseduo mode, and Device connected
b'11: UART not connected, but Device connected</t>
    <phoneticPr fontId="1" type="noConversion"/>
  </si>
  <si>
    <t>usb_uart3_tx_discard_off</t>
    <phoneticPr fontId="1" type="noConversion"/>
  </si>
  <si>
    <t>usb_uart3_mode</t>
    <phoneticPr fontId="1" type="noConversion"/>
  </si>
  <si>
    <t>UART3 Mode
b'00: UART and Device both not connected
b'01: UART Real mode, and Device connected
b'10: UART Pseduo mode, and Device connected
b'11: UART not connected, but Device connected</t>
    <phoneticPr fontId="1" type="noConversion"/>
  </si>
  <si>
    <t>usb_uart2_tx_discard_off</t>
    <phoneticPr fontId="1" type="noConversion"/>
  </si>
  <si>
    <t>usb_uart2_mode</t>
    <phoneticPr fontId="1" type="noConversion"/>
  </si>
  <si>
    <t>UART2 Mode
b'00: UART and Device both not connected
b'01: UART Real mode, and Device connected
b'10: UART Pseduo mode, and Device connected
b'11: UART not connected, but Device connected</t>
    <phoneticPr fontId="1" type="noConversion"/>
  </si>
  <si>
    <t>usb_uart1_tx_discard_off</t>
    <phoneticPr fontId="1" type="noConversion"/>
  </si>
  <si>
    <t>usb_uart1_mode</t>
    <phoneticPr fontId="1" type="noConversion"/>
  </si>
  <si>
    <t>UART1 Mode
b'00: UART and Device both not connected
b'01: UART Real mode, and Device connected
b'10: UART Pseduo mode, and Device connected
b'11: UART not connected, but Device connected</t>
    <phoneticPr fontId="1" type="noConversion"/>
  </si>
  <si>
    <t>usb_uart0_tx_discard_off</t>
    <phoneticPr fontId="1" type="noConversion"/>
  </si>
  <si>
    <t>usb_uart0_mode</t>
    <phoneticPr fontId="1" type="noConversion"/>
  </si>
  <si>
    <t>UART0 Mode
b'00: UART and Device both not connected
b'01: UART Real mode, and Device connected
b'10: UART Pseduo mode, and Device connected
b'11: UART not connected, but Device connected</t>
    <phoneticPr fontId="1" type="noConversion"/>
  </si>
  <si>
    <t>usb_uart11_mode</t>
    <phoneticPr fontId="1" type="noConversion"/>
  </si>
  <si>
    <t>UART11 Mode
b'00: UART and Device both not connected
b'01: UART Real mode, and Device connected
b'10: UART Pseduo mode, and Device connected
b'11: UART not connected, but Device connected</t>
    <phoneticPr fontId="1" type="noConversion"/>
  </si>
  <si>
    <t>usb_uart10_tx_discard_off</t>
    <phoneticPr fontId="1" type="noConversion"/>
  </si>
  <si>
    <t>usb_uart10_mode</t>
    <phoneticPr fontId="1" type="noConversion"/>
  </si>
  <si>
    <t>UART10 Mode
b'00: UART and Device both not connected
b'01: UART Real mode, and Device connected
b'10: UART Pseduo mode, and Device connected
b'11: UART not connected, but Device connected</t>
    <phoneticPr fontId="1" type="noConversion"/>
  </si>
  <si>
    <t>usb_uart9_tx_discard_off</t>
    <phoneticPr fontId="1" type="noConversion"/>
  </si>
  <si>
    <t>usb_uart9_mode</t>
    <phoneticPr fontId="1" type="noConversion"/>
  </si>
  <si>
    <t>UART9 Mode
b'00: UART and Device both not connected
b'01: UART Real mode, and Device connected
b'10: UART Pseduo mode, and Device connected
b'11: UART not connected, but Device connected</t>
    <phoneticPr fontId="1" type="noConversion"/>
  </si>
  <si>
    <t>usb_uart8_tx_discard_off</t>
    <phoneticPr fontId="1" type="noConversion"/>
  </si>
  <si>
    <t>usb_uart8_mode</t>
    <phoneticPr fontId="1" type="noConversion"/>
  </si>
  <si>
    <t>UART8 Mode
b'00: UART and Device both not connected
b'01: UART Real mode, and Device connected
b'10: UART Pseduo mode, and Device connected
b'11: UART not connected, but Device connected</t>
    <phoneticPr fontId="1" type="noConversion"/>
  </si>
  <si>
    <t>usb_uart7_tx_discard_off</t>
    <phoneticPr fontId="1" type="noConversion"/>
  </si>
  <si>
    <t>usb_uart7_mode</t>
    <phoneticPr fontId="1" type="noConversion"/>
  </si>
  <si>
    <t>UART7 Mode
b'00: UART and Device both not connected
b'01: UART Real mode, and Device connected
b'10: UART Pseduo mode, and Device connected
b'11: UART not connected, but Device connected</t>
    <phoneticPr fontId="1" type="noConversion"/>
  </si>
  <si>
    <t>usb_uart6_tx_discard_off</t>
    <phoneticPr fontId="1" type="noConversion"/>
  </si>
  <si>
    <t>usb_uart6_mode_msb</t>
    <phoneticPr fontId="1" type="noConversion"/>
  </si>
  <si>
    <t>UART6 Mode - msb (bit1)</t>
    <phoneticPr fontId="1" type="noConversion"/>
  </si>
  <si>
    <t>uart_io_route</t>
  </si>
  <si>
    <t>uart11/13/14 routing (hw effect by scu)</t>
  </si>
  <si>
    <t>usb_uart_put_all_boot_message</t>
    <phoneticPr fontId="1" type="noConversion"/>
  </si>
  <si>
    <t>usb_uart_mode3</t>
    <phoneticPr fontId="1" type="noConversion"/>
  </si>
  <si>
    <t>Enable Mode-3 (USB2UART only, no vHub)</t>
    <phoneticPr fontId="1" type="noConversion"/>
  </si>
  <si>
    <t>usb_uart_hub_23ports</t>
    <phoneticPr fontId="1" type="noConversion"/>
  </si>
  <si>
    <t>usb_uart15_tx_discard_off</t>
    <phoneticPr fontId="1" type="noConversion"/>
  </si>
  <si>
    <t>usb_uart15_mode</t>
    <phoneticPr fontId="1" type="noConversion"/>
  </si>
  <si>
    <t>UART15 Mode
b'00: UART and Device both not connected
b'01: UART Real mode, and Device connected
b'10: UART Pseduo mode, and Device connected
b'11: UART not connected, but Device connected</t>
    <phoneticPr fontId="1" type="noConversion"/>
  </si>
  <si>
    <t>usb_uart12_tx_discard_off</t>
    <phoneticPr fontId="1" type="noConversion"/>
  </si>
  <si>
    <t>usb_uart12_mode</t>
    <phoneticPr fontId="1" type="noConversion"/>
  </si>
  <si>
    <t>UART12 Mode
b'00: UART and Device both not connected
b'01: UART Real mode, and Device connected
b'10: UART Pseduo mode, and Device connected
b'11: UART not connected, but Device connected</t>
    <phoneticPr fontId="1" type="noConversion"/>
  </si>
  <si>
    <t>usb_uart11_tx_discard_off</t>
    <phoneticPr fontId="1" type="noConversion"/>
  </si>
  <si>
    <t>rd_protect_otp_cptra0</t>
  </si>
  <si>
    <t>Enable Read protect for OTP region cptra 0</t>
  </si>
  <si>
    <t>wr_protect_otp_cptra0</t>
  </si>
  <si>
    <t>Enable Write protect for OTP region cptra 0</t>
  </si>
  <si>
    <t>cptra0_region_start_offset</t>
  </si>
  <si>
    <t>cptra 0 region start offset</t>
  </si>
  <si>
    <t>cptra0_region_size</t>
  </si>
  <si>
    <t>cptra 0 region size</t>
  </si>
  <si>
    <t>OTP Patch Code location 3</t>
  </si>
  <si>
    <t>otp_patch_vld 3</t>
  </si>
  <si>
    <t>Enable otp patch 3
0: otp rom patch 3 is invalid
1: otp rom patch 3 is valid</t>
  </si>
  <si>
    <t>OTP Patch Size 3</t>
  </si>
  <si>
    <t>OTP Patch Code location 4</t>
  </si>
  <si>
    <t>otp_patch_vld 4</t>
  </si>
  <si>
    <t>Enable otp patch 4
0: otp rom patch 4 is invalid
1: otp rom patch 4 is valid</t>
  </si>
  <si>
    <t>OTP Patch Size 4</t>
  </si>
  <si>
    <t>OTP Patch Code location 5</t>
  </si>
  <si>
    <t>otp_patch_vld 5</t>
  </si>
  <si>
    <t>Enable otp patch 5
0: otp rom patch 5 is invalid
1: otp rom patch 5 is valid</t>
  </si>
  <si>
    <t>OTP Patch Size 5</t>
  </si>
  <si>
    <t>BootSPI</t>
  </si>
  <si>
    <t>HPLLFreq</t>
  </si>
  <si>
    <t>Reserved for design flexibility, no use case for now.</t>
    <phoneticPr fontId="0" type="noConversion"/>
  </si>
  <si>
    <t>CPUHPLL</t>
  </si>
  <si>
    <t>HCLKSel</t>
  </si>
  <si>
    <t>HCLKHPLL</t>
  </si>
  <si>
    <t>DisDebug</t>
  </si>
  <si>
    <t>Disable all debug interfaces in SCU0_0C8 for security.</t>
  </si>
  <si>
    <t>TSP reset can be separated from the SSP reset pin.</t>
    <phoneticPr fontId="0" type="noConversion"/>
  </si>
  <si>
    <t>VGALinearSize[0]</t>
  </si>
  <si>
    <t>Configuration for VGA memory size.</t>
    <phoneticPr fontId="0" type="noConversion"/>
  </si>
  <si>
    <t>VGALinearSize[1]</t>
  </si>
  <si>
    <t>DisSSP</t>
  </si>
  <si>
    <t>DisTSP</t>
  </si>
  <si>
    <t>En_SecBoot</t>
  </si>
  <si>
    <t>DisDebug1</t>
  </si>
  <si>
    <t>Disable all debug interfaces in SCU1_0C8 for security.</t>
  </si>
  <si>
    <t>Dis_WDTfull</t>
  </si>
  <si>
    <t>Disable WDT reset full</t>
  </si>
  <si>
    <t>Dis_UartDbg</t>
  </si>
  <si>
    <t>Disable UART debug controller interface mentioned in chapter 9 of AST2700 datasheet.</t>
  </si>
  <si>
    <t>UartDbgSel</t>
  </si>
  <si>
    <t>Uart debug IO pin selection.</t>
    <phoneticPr fontId="0" type="noConversion"/>
  </si>
  <si>
    <t>Dis_CptraJTag</t>
  </si>
  <si>
    <t>En_ROM_Intr</t>
  </si>
  <si>
    <t>Dis_ROM</t>
  </si>
  <si>
    <t>eMMC_UFS_Boot</t>
  </si>
  <si>
    <t>SPI_Flash_Wait_Ready</t>
  </si>
  <si>
    <t>SPI_Flash_4_Byte_Mode</t>
  </si>
  <si>
    <t>Recovery_mode_selection</t>
  </si>
  <si>
    <t>RecUSBSel</t>
  </si>
  <si>
    <t>If recovery mode selects USB (SCU1_010[27:26]), the USB port selection can be selected.</t>
    <phoneticPr fontId="0" type="noConversion"/>
  </si>
  <si>
    <t>DisARMICE</t>
  </si>
  <si>
    <t>Disable ARM ICE</t>
  </si>
  <si>
    <t>Disable CA35 JTAG function permanently.</t>
  </si>
  <si>
    <t>VGA_CC</t>
  </si>
  <si>
    <t>ufs_clk_sel</t>
  </si>
  <si>
    <t>BooteMMCSpeed</t>
  </si>
  <si>
    <t>Disable_XHCI</t>
  </si>
  <si>
    <t>Disable XHCI0/1</t>
  </si>
  <si>
    <t>DisARMICE_TZ</t>
  </si>
  <si>
    <t>Disable ARM ICE in Trust World</t>
  </si>
  <si>
    <t>Uart Debug timeout selection</t>
  </si>
  <si>
    <t>Reserved for design flexibility, no use case for now.</t>
  </si>
  <si>
    <t>DAC_Src</t>
  </si>
  <si>
    <t>DP_Src</t>
  </si>
  <si>
    <t>Dis_RVAS</t>
  </si>
  <si>
    <t>Disable RVAS0/1</t>
  </si>
  <si>
    <t>VRSize</t>
  </si>
  <si>
    <t>En_PCIeVGA0</t>
  </si>
  <si>
    <t>Enable PCIe VGA0</t>
  </si>
  <si>
    <t>En_PCIeIPMI0</t>
  </si>
  <si>
    <t>Enable PCIe IPMI0</t>
  </si>
  <si>
    <t>En_PCIeEHCI0</t>
  </si>
  <si>
    <t>Enable PCIe EHCI0</t>
  </si>
  <si>
    <t>En_PCIeXHCI0</t>
  </si>
  <si>
    <t>Enable PCIe XHCI0</t>
  </si>
  <si>
    <t>En_PCIeVGA1</t>
  </si>
  <si>
    <t>Enable PCIe VGA1</t>
  </si>
  <si>
    <t>En_PCIeIPMI1</t>
  </si>
  <si>
    <t>Enable PCIe IPMI1</t>
  </si>
  <si>
    <t>En_PCIeEHCI1</t>
  </si>
  <si>
    <t>Enable PCIe EHCI1</t>
  </si>
  <si>
    <t>En_PCIeXHCI1</t>
  </si>
  <si>
    <t>Enable PCIe XHCI1</t>
  </si>
  <si>
    <t>ABR</t>
  </si>
  <si>
    <t>ROM_Clear_SRAM</t>
  </si>
  <si>
    <t>En_Cptra_debug</t>
  </si>
  <si>
    <t>FWSPISize</t>
  </si>
  <si>
    <t>En_FWSPIAux</t>
  </si>
  <si>
    <t>Boot_SPI_Freq</t>
  </si>
  <si>
    <t>Check_Flash_Access</t>
  </si>
  <si>
    <t>ABR_dis_B</t>
  </si>
  <si>
    <t>ABR_RECOVERY_DIS</t>
  </si>
  <si>
    <t>FMC_ABR_CS_SWAP_DIS</t>
  </si>
  <si>
    <t>FMC_ABR_MODE</t>
  </si>
  <si>
    <t>Node0_SIODecSel</t>
  </si>
  <si>
    <t>Node0_Dis_SIODec</t>
  </si>
  <si>
    <t>Disable SIO Decoding</t>
  </si>
  <si>
    <t>Node0_En_ACPI</t>
  </si>
  <si>
    <t>Enable ACPI</t>
  </si>
  <si>
    <t>Node0_En_LPC</t>
  </si>
  <si>
    <t>Enable LPC</t>
  </si>
  <si>
    <t>Node0_En_eDAF</t>
  </si>
  <si>
    <t>Node0_En_eRTC</t>
  </si>
  <si>
    <t>Enable eSPI RTC</t>
  </si>
  <si>
    <t>Key header</t>
    <phoneticPr fontId="1" type="noConversion"/>
  </si>
  <si>
    <t>Owner Key Hash 0 header</t>
    <phoneticPr fontId="1" type="noConversion"/>
  </si>
  <si>
    <t>Owner Key Hash 1 header</t>
  </si>
  <si>
    <t>Owner Key Hash 2 header</t>
  </si>
  <si>
    <t>Owner Key Hash 3 header</t>
  </si>
  <si>
    <t>Owner Key Hash 4 header</t>
  </si>
  <si>
    <t>Owner Key Hash 5 header</t>
  </si>
  <si>
    <t>Owner Key Hash 6 header</t>
  </si>
  <si>
    <t>Owner Key Hash 7 header</t>
  </si>
  <si>
    <t>Owner Key Hash 8 header</t>
  </si>
  <si>
    <t>Owner Key Hash 9 header</t>
  </si>
  <si>
    <t>Owner Key Hash 10 header</t>
  </si>
  <si>
    <t>Owner Key Hash 11 header</t>
  </si>
  <si>
    <t>Owner Key Hash 12 header</t>
  </si>
  <si>
    <t>Owner Key Hash 13 header</t>
  </si>
  <si>
    <t>Owner Key Hash 14 header</t>
  </si>
  <si>
    <t>Owner Key Hash 15 header</t>
  </si>
  <si>
    <t>Key Body</t>
    <phoneticPr fontId="1" type="noConversion"/>
  </si>
  <si>
    <t>Owner Key Hash 0</t>
    <phoneticPr fontId="1" type="noConversion"/>
  </si>
  <si>
    <t>Owner Key Hash 1</t>
  </si>
  <si>
    <t>Owner Key Hash 2</t>
  </si>
  <si>
    <t>Owner Key Hash 3</t>
  </si>
  <si>
    <t>Owner Key Hash 4</t>
  </si>
  <si>
    <t>Owner Key Hash 5</t>
  </si>
  <si>
    <t>Owner Key Hash 6</t>
  </si>
  <si>
    <t>Owner Key Hash 7</t>
  </si>
  <si>
    <t>Owner Key Hash 8</t>
  </si>
  <si>
    <t>Owner Key Hash 9</t>
  </si>
  <si>
    <t>Owner Key Hash 10</t>
  </si>
  <si>
    <t>Owner Key Hash 11</t>
  </si>
  <si>
    <t>Owner Key Hash 12</t>
  </si>
  <si>
    <t>Owner Key Hash 13</t>
  </si>
  <si>
    <t>Owner Key Hash 14</t>
  </si>
  <si>
    <t>Owner Key Hash 15</t>
  </si>
  <si>
    <t>Sum</t>
    <phoneticPr fontId="1" type="noConversion"/>
  </si>
  <si>
    <t>Anti-rollback disable</t>
  </si>
  <si>
    <t>DICE</t>
    <phoneticPr fontId="1" type="noConversion"/>
  </si>
  <si>
    <t>Manufacture Key Hash</t>
  </si>
  <si>
    <t>Secure Boot</t>
  </si>
  <si>
    <t>IDEVID Cert attr</t>
  </si>
  <si>
    <t>IDEVID manuf HSM identifier</t>
  </si>
  <si>
    <t>IDEVID Cert Signature</t>
  </si>
  <si>
    <t>1F80</t>
    <phoneticPr fontId="1" type="noConversion"/>
  </si>
  <si>
    <t>sw_puf</t>
    <phoneticPr fontId="1" type="noConversion"/>
  </si>
  <si>
    <t>hw_puf</t>
    <phoneticPr fontId="1" type="noConversion"/>
  </si>
  <si>
    <t>Caliptra UDS Seed</t>
  </si>
  <si>
    <t>Secret vault key</t>
  </si>
  <si>
    <t>Secure Vault</t>
    <phoneticPr fontId="1" type="noConversion"/>
  </si>
  <si>
    <t>Start address (word)</t>
    <phoneticPr fontId="1" type="noConversion"/>
  </si>
  <si>
    <t>31: 0</t>
    <phoneticPr fontId="1" type="noConversion"/>
  </si>
  <si>
    <t>Bit</t>
    <phoneticPr fontId="1" type="noConversion"/>
  </si>
  <si>
    <t>15871: 0</t>
    <phoneticPr fontId="1" type="noConversion"/>
  </si>
  <si>
    <t>SoC ROM supports multiple ROM patch stages. Check OTPCFG4~7/OTPCFG24~29 for more details.</t>
    <phoneticPr fontId="1" type="noConversion"/>
  </si>
  <si>
    <t>15: 0</t>
    <phoneticPr fontId="1" type="noConversion"/>
  </si>
  <si>
    <t>Size (bit)</t>
    <phoneticPr fontId="1" type="noConversion"/>
  </si>
  <si>
    <t>Size (byte)</t>
    <phoneticPr fontId="1" type="noConversion"/>
  </si>
  <si>
    <t>Size (word)</t>
    <phoneticPr fontId="1" type="noConversion"/>
  </si>
  <si>
    <t>63: 0</t>
    <phoneticPr fontId="1" type="noConversion"/>
  </si>
  <si>
    <t>127: 0</t>
    <phoneticPr fontId="1" type="noConversion"/>
  </si>
  <si>
    <t>3: 0</t>
    <phoneticPr fontId="1" type="noConversion"/>
  </si>
  <si>
    <t>Register</t>
    <phoneticPr fontId="1" type="noConversion"/>
  </si>
  <si>
    <t>OTPCFG0/SCU1_880</t>
    <phoneticPr fontId="6" type="noConversion"/>
  </si>
  <si>
    <t>9: 8</t>
    <phoneticPr fontId="1" type="noConversion"/>
  </si>
  <si>
    <t>7: 6</t>
    <phoneticPr fontId="1" type="noConversion"/>
  </si>
  <si>
    <t>OTPCFG1/SCU1_880</t>
    <phoneticPr fontId="6" type="noConversion"/>
  </si>
  <si>
    <t>Reserved</t>
    <phoneticPr fontId="1" type="noConversion"/>
  </si>
  <si>
    <t>15:11</t>
    <phoneticPr fontId="1" type="noConversion"/>
  </si>
  <si>
    <t>10: 1</t>
    <phoneticPr fontId="1" type="noConversion"/>
  </si>
  <si>
    <t>15:10</t>
    <phoneticPr fontId="1" type="noConversion"/>
  </si>
  <si>
    <t>9: 0</t>
    <phoneticPr fontId="1" type="noConversion"/>
  </si>
  <si>
    <t>40A</t>
    <phoneticPr fontId="1" type="noConversion"/>
  </si>
  <si>
    <t>40B</t>
    <phoneticPr fontId="1" type="noConversion"/>
  </si>
  <si>
    <t>40C</t>
    <phoneticPr fontId="1" type="noConversion"/>
  </si>
  <si>
    <t>40D</t>
    <phoneticPr fontId="1" type="noConversion"/>
  </si>
  <si>
    <t>40E</t>
    <phoneticPr fontId="1" type="noConversion"/>
  </si>
  <si>
    <t>40F</t>
    <phoneticPr fontId="1" type="noConversion"/>
  </si>
  <si>
    <t>41A</t>
    <phoneticPr fontId="1" type="noConversion"/>
  </si>
  <si>
    <t>41B</t>
    <phoneticPr fontId="1" type="noConversion"/>
  </si>
  <si>
    <t>41C</t>
    <phoneticPr fontId="1" type="noConversion"/>
  </si>
  <si>
    <t>41D</t>
    <phoneticPr fontId="1" type="noConversion"/>
  </si>
  <si>
    <t>41E</t>
    <phoneticPr fontId="1" type="noConversion"/>
  </si>
  <si>
    <t>41F</t>
    <phoneticPr fontId="1" type="noConversion"/>
  </si>
  <si>
    <t>15: 8</t>
    <phoneticPr fontId="1" type="noConversion"/>
  </si>
  <si>
    <t>11: 0</t>
    <phoneticPr fontId="1" type="noConversion"/>
  </si>
  <si>
    <t>7: 5</t>
    <phoneticPr fontId="1" type="noConversion"/>
  </si>
  <si>
    <t>13:12</t>
    <phoneticPr fontId="1" type="noConversion"/>
  </si>
  <si>
    <t>10: 9</t>
    <phoneticPr fontId="1" type="noConversion"/>
  </si>
  <si>
    <t>4: 3</t>
    <phoneticPr fontId="1" type="noConversion"/>
  </si>
  <si>
    <t>1: 0</t>
    <phoneticPr fontId="1" type="noConversion"/>
  </si>
  <si>
    <t>15:14</t>
    <phoneticPr fontId="1" type="noConversion"/>
  </si>
  <si>
    <t>12:11</t>
    <phoneticPr fontId="1" type="noConversion"/>
  </si>
  <si>
    <t>6: 5</t>
    <phoneticPr fontId="1" type="noConversion"/>
  </si>
  <si>
    <t>3: 2</t>
    <phoneticPr fontId="1" type="noConversion"/>
  </si>
  <si>
    <t>15:13</t>
    <phoneticPr fontId="1" type="noConversion"/>
  </si>
  <si>
    <t>12:10</t>
    <phoneticPr fontId="1" type="noConversion"/>
  </si>
  <si>
    <t>5: 4</t>
    <phoneticPr fontId="1" type="noConversion"/>
  </si>
  <si>
    <t>2: 1</t>
    <phoneticPr fontId="1" type="noConversion"/>
  </si>
  <si>
    <t>HW</t>
    <phoneticPr fontId="1" type="noConversion"/>
  </si>
  <si>
    <t>OTPCFG2/SCU1_884</t>
    <phoneticPr fontId="6" type="noConversion"/>
  </si>
  <si>
    <t>OTPCFG3/SCU1_884</t>
    <phoneticPr fontId="6" type="noConversion"/>
  </si>
  <si>
    <t>OTPCFG4/SCU1_888</t>
    <phoneticPr fontId="6" type="noConversion"/>
  </si>
  <si>
    <t>OTPCFG5/SCU1_888</t>
    <phoneticPr fontId="6" type="noConversion"/>
  </si>
  <si>
    <t>OTPCFG6/SCU1_88C</t>
    <phoneticPr fontId="6" type="noConversion"/>
  </si>
  <si>
    <t>OTPCFG7/SCU1_88C</t>
    <phoneticPr fontId="6" type="noConversion"/>
  </si>
  <si>
    <t>OTPCFG8/SCU1_890</t>
    <phoneticPr fontId="6" type="noConversion"/>
  </si>
  <si>
    <t>OTPCFG9/SCU1_890</t>
    <phoneticPr fontId="6" type="noConversion"/>
  </si>
  <si>
    <t>OTPCFG10/SCU1_894</t>
    <phoneticPr fontId="6" type="noConversion"/>
  </si>
  <si>
    <t>OTPCFG11/SCU1_894</t>
    <phoneticPr fontId="6" type="noConversion"/>
  </si>
  <si>
    <t>OTPCFG12/SCU1_898</t>
    <phoneticPr fontId="6" type="noConversion"/>
  </si>
  <si>
    <t>OTPCFG13/SCU1_898</t>
    <phoneticPr fontId="6" type="noConversion"/>
  </si>
  <si>
    <t>OTPCFG14/SCU1_89C</t>
    <phoneticPr fontId="6" type="noConversion"/>
  </si>
  <si>
    <t>OTPCFG15/SCU1_89C</t>
    <phoneticPr fontId="6" type="noConversion"/>
  </si>
  <si>
    <t>OTPCFG16/SCU1_8A0</t>
    <phoneticPr fontId="6" type="noConversion"/>
  </si>
  <si>
    <t>OTPCFG17/SCU1_8A0</t>
    <phoneticPr fontId="6" type="noConversion"/>
  </si>
  <si>
    <t>OTPCFG18/SCU1_8A4</t>
    <phoneticPr fontId="6" type="noConversion"/>
  </si>
  <si>
    <t>OTPCFG19/SCU1_8A4</t>
    <phoneticPr fontId="6" type="noConversion"/>
  </si>
  <si>
    <t>OTPCFG20/SCU1_8A8</t>
    <phoneticPr fontId="6" type="noConversion"/>
  </si>
  <si>
    <t>OTPCFG21/SCU1_8A8</t>
    <phoneticPr fontId="6" type="noConversion"/>
  </si>
  <si>
    <t>OTPCFG22/SCU1_8AC</t>
    <phoneticPr fontId="6" type="noConversion"/>
  </si>
  <si>
    <t>OTPCFG23/SCU1_8AC</t>
    <phoneticPr fontId="6" type="noConversion"/>
  </si>
  <si>
    <t>OTPCFG24/SCU1_8B0</t>
    <phoneticPr fontId="6" type="noConversion"/>
  </si>
  <si>
    <t>OTPCFG25/SCU1_8B0</t>
    <phoneticPr fontId="6" type="noConversion"/>
  </si>
  <si>
    <t>OTPCFG26/SCU1_8B4</t>
    <phoneticPr fontId="6" type="noConversion"/>
  </si>
  <si>
    <t>OTPCFG27/SCU1_8B4</t>
    <phoneticPr fontId="6" type="noConversion"/>
  </si>
  <si>
    <t>OTPCFG28/SCU1_8B8</t>
    <phoneticPr fontId="6" type="noConversion"/>
  </si>
  <si>
    <t>OTPCFG29/SCU1_8B8</t>
    <phoneticPr fontId="6" type="noConversion"/>
  </si>
  <si>
    <t>OTPCFG30/SCU1_8BC</t>
    <phoneticPr fontId="6" type="noConversion"/>
  </si>
  <si>
    <t>OTPCFG31/SCU1_8BC</t>
    <phoneticPr fontId="6" type="noConversion"/>
  </si>
  <si>
    <t>UART</t>
    <phoneticPr fontId="1" type="noConversion"/>
  </si>
  <si>
    <t>CPTRA</t>
    <phoneticPr fontId="1" type="noConversion"/>
  </si>
  <si>
    <t>eMMC</t>
    <phoneticPr fontId="1" type="noConversion"/>
  </si>
  <si>
    <t>Recovery</t>
    <phoneticPr fontId="1" type="noConversion"/>
  </si>
  <si>
    <t>ROM</t>
  </si>
  <si>
    <t>ROM</t>
    <phoneticPr fontId="1" type="noConversion"/>
  </si>
  <si>
    <t>DBG</t>
    <phoneticPr fontId="1" type="noConversion"/>
  </si>
  <si>
    <t>Static protect</t>
  </si>
  <si>
    <t>OTPSTRAP_EXT</t>
    <phoneticPr fontId="1" type="noConversion"/>
  </si>
  <si>
    <t>TSPRsntSel</t>
  </si>
  <si>
    <t>Boot from CPU die SPI
0: Boot from IO die SPI
1: Boot from CPU die SPI</t>
    <phoneticPr fontId="1" type="noConversion"/>
  </si>
  <si>
    <t>HPLL default frequency
00: 2.0GHz, 01: 1.9GHz, 10: 1.8GHz, 11: 1.7GHz</t>
    <phoneticPr fontId="1" type="noConversion"/>
  </si>
  <si>
    <t>CPU clock PLL
0: MPLL, 1: HPLL</t>
    <phoneticPr fontId="1" type="noConversion"/>
  </si>
  <si>
    <t>AXI/AHB clock selection
0x: 400MHz, 10: 266MHz, 11: 200MHz when HCLKPLL=0
0x: 500MHz, 10: 333MHz, 11: 250MHz when HCLKPLL=1</t>
    <phoneticPr fontId="1" type="noConversion"/>
  </si>
  <si>
    <t>AXI/AHB clock PLL
0: MPLL, 1: HPLL</t>
    <phoneticPr fontId="1" type="noConversion"/>
  </si>
  <si>
    <t>Disable Debug Interfaces for CPU die
all debug interface SCU0_0C8</t>
    <phoneticPr fontId="1" type="noConversion"/>
  </si>
  <si>
    <t>TSP reset pin selection
0: SSPRSTN, 1: GPIO18E0</t>
    <phoneticPr fontId="1" type="noConversion"/>
  </si>
  <si>
    <t>Disable SSP running
0: disable 1: enable</t>
    <phoneticPr fontId="1" type="noConversion"/>
  </si>
  <si>
    <t>Disable TSP running
0: disable 1: enable</t>
    <phoneticPr fontId="1" type="noConversion"/>
  </si>
  <si>
    <t>OTPSTRAP[0]/SCU0_010[0]</t>
    <phoneticPr fontId="1" type="noConversion"/>
  </si>
  <si>
    <t>OTPSTRAP[1]/SCU0_010[1]</t>
    <phoneticPr fontId="1" type="noConversion"/>
  </si>
  <si>
    <t>OTPSTRAP[3:2]/SCU0_010[3:2]</t>
    <phoneticPr fontId="1" type="noConversion"/>
  </si>
  <si>
    <t>OTPSTRAP[4]/SCU0_010[4]</t>
    <phoneticPr fontId="1" type="noConversion"/>
  </si>
  <si>
    <t>OTPSTRAP[6:5]/SCU0_010[6:5]</t>
    <phoneticPr fontId="1" type="noConversion"/>
  </si>
  <si>
    <t>OTPSTRAP[7]/SCU0_010[7]</t>
    <phoneticPr fontId="1" type="noConversion"/>
  </si>
  <si>
    <t>OTPSTRAP[8]/SCU0_010[8]</t>
    <phoneticPr fontId="1" type="noConversion"/>
  </si>
  <si>
    <t>OTPSTRAP[9]/SCU0_010[9]</t>
    <phoneticPr fontId="1" type="noConversion"/>
  </si>
  <si>
    <t>OTPSTRAP[10]/SCU0_010[10]</t>
    <phoneticPr fontId="1" type="noConversion"/>
  </si>
  <si>
    <t>OTPSTRAP[11]/SCU0_010[11]</t>
    <phoneticPr fontId="1" type="noConversion"/>
  </si>
  <si>
    <t>OTPSTRAP[12]/SCU0_010[12]</t>
    <phoneticPr fontId="1" type="noConversion"/>
  </si>
  <si>
    <t>OTPSTRAP[13]/SCU0_010[13]</t>
    <phoneticPr fontId="1" type="noConversion"/>
  </si>
  <si>
    <t>OTPSTRAP[14]/SCU0_010[14]</t>
    <phoneticPr fontId="1" type="noConversion"/>
  </si>
  <si>
    <t>OTPSTRAP[15]/SCU0_010[15]</t>
    <phoneticPr fontId="1" type="noConversion"/>
  </si>
  <si>
    <t>Dis_Cptra</t>
  </si>
  <si>
    <t>14:13</t>
    <phoneticPr fontId="1" type="noConversion"/>
  </si>
  <si>
    <t>Enable Secure Boot
0: disable 1: enable</t>
    <phoneticPr fontId="1" type="noConversion"/>
  </si>
  <si>
    <t>Disable Debug Interfaces for IO die
all debug interface SCU1_0C8</t>
    <phoneticPr fontId="1" type="noConversion"/>
  </si>
  <si>
    <t>Disable Uart Debug
0: enable 1: disable</t>
    <phoneticPr fontId="1" type="noConversion"/>
  </si>
  <si>
    <t>Disable WDT reset full
0: enable 1: disable</t>
    <phoneticPr fontId="1" type="noConversion"/>
  </si>
  <si>
    <t>Enable ROM interrupt
0: disable 1: enable</t>
    <phoneticPr fontId="1" type="noConversion"/>
  </si>
  <si>
    <t>Boot from eMMC or UFS selection
0: eMMC 1: UFS</t>
    <phoneticPr fontId="1" type="noConversion"/>
  </si>
  <si>
    <t>Disable Caliptra booting
0: enable 1: disable</t>
    <phoneticPr fontId="1" type="noConversion"/>
  </si>
  <si>
    <t>Recovery from Uart or USB selection
0: Uart
1: USB
2: I2C
3: I3C</t>
    <phoneticPr fontId="1" type="noConversion"/>
  </si>
  <si>
    <t>Boot from USB port selection
0: port A
1: port B
2: port C
3: port D</t>
    <phoneticPr fontId="1" type="noConversion"/>
  </si>
  <si>
    <t>OTPSTRAP[16]/SCU1_010[5]</t>
    <phoneticPr fontId="1" type="noConversion"/>
  </si>
  <si>
    <t>OTPSTRAP[17]/SCU1_010[16]</t>
    <phoneticPr fontId="1" type="noConversion"/>
  </si>
  <si>
    <t>OTPSTRAP[18]/SCU1_010[17]</t>
    <phoneticPr fontId="1" type="noConversion"/>
  </si>
  <si>
    <t>OTPSTRAP[19]/SCU1_010[18]</t>
    <phoneticPr fontId="1" type="noConversion"/>
  </si>
  <si>
    <t>OTPSTRAP[20]/SCU1_010[19]</t>
    <phoneticPr fontId="1" type="noConversion"/>
  </si>
  <si>
    <t>OTPSTRAP[21]/SCU1_010[20]</t>
    <phoneticPr fontId="1" type="noConversion"/>
  </si>
  <si>
    <t>OTPSTRAP[22]/SCU1_010[21]</t>
    <phoneticPr fontId="1" type="noConversion"/>
  </si>
  <si>
    <t>OTPSTRAP[23]/SCU1_010[22]</t>
    <phoneticPr fontId="1" type="noConversion"/>
  </si>
  <si>
    <t>OTPSTRAP[24]/SCU1_010[23]</t>
    <phoneticPr fontId="1" type="noConversion"/>
  </si>
  <si>
    <t>OTPSTRAP[25]/SCU1_010[24]</t>
    <phoneticPr fontId="1" type="noConversion"/>
  </si>
  <si>
    <t>OTPSTRAP[26]/SCU1_010[25]</t>
    <phoneticPr fontId="1" type="noConversion"/>
  </si>
  <si>
    <t>OTPSTRAP[28:27]/SCU1_010[27:26]</t>
    <phoneticPr fontId="1" type="noConversion"/>
  </si>
  <si>
    <t>OTPSTRAP[30:29]/SCU1_010[29:28]</t>
    <phoneticPr fontId="1" type="noConversion"/>
  </si>
  <si>
    <t>OTPSTRAP[31]/SCU1_010[30]</t>
    <phoneticPr fontId="1" type="noConversion"/>
  </si>
  <si>
    <t>Reserved</t>
    <phoneticPr fontId="1" type="noConversion"/>
  </si>
  <si>
    <t>VGA0/1 Class Code
0: Class Code of VGA device
1: Class code for video device</t>
    <phoneticPr fontId="1" type="noConversion"/>
  </si>
  <si>
    <t>UFS reference clock selection
0: Internal clk
1: External clk (OSC)</t>
    <phoneticPr fontId="1" type="noConversion"/>
  </si>
  <si>
    <t>eMMC Boot Speed
0: low speed(25Mhz) 1: 50Mhz</t>
    <phoneticPr fontId="1" type="noConversion"/>
  </si>
  <si>
    <t>DAC's source selection
0: PCIE VGA0
1: PCIE VGA1</t>
    <phoneticPr fontId="1" type="noConversion"/>
  </si>
  <si>
    <t>DisplayPort's source selection
0: PCIE VGA0
1: PCIE VGA1</t>
    <phoneticPr fontId="1" type="noConversion"/>
  </si>
  <si>
    <t>OTPSTRAP_EXT1/SCU0_010[16]</t>
    <phoneticPr fontId="1" type="noConversion"/>
  </si>
  <si>
    <t>OTPSTRAP_EXT1/SCU0_010[17]</t>
  </si>
  <si>
    <t>OTPSTRAP_EXT1/SCU0_010[18]</t>
  </si>
  <si>
    <t>OTPSTRAP_EXT1/SCU0_010[19]</t>
  </si>
  <si>
    <t>OTPSTRAP_EXT1/SCU0_010[20]</t>
  </si>
  <si>
    <t>OTPSTRAP_EXT1/SCU0_010[21]</t>
  </si>
  <si>
    <t>OTPSTRAP_EXT1/SCU0_010[22]</t>
  </si>
  <si>
    <t>OTPSTRAP_EXT1/SCU0_010[23]</t>
  </si>
  <si>
    <t>OTPSTRAP_EXT1/SCU0_010[24]</t>
  </si>
  <si>
    <t>OTPSTRAP_EXT1/SCU0_010[25]</t>
  </si>
  <si>
    <t>OTPSTRAP_EXT1/SCU0_010[29]</t>
  </si>
  <si>
    <t>OTPSTRAP_EXT1/SCU0_010[30]</t>
  </si>
  <si>
    <t>OTPSTRAP_EXT1/SCU0_010[27:26]</t>
    <phoneticPr fontId="1" type="noConversion"/>
  </si>
  <si>
    <t>OTPSTRAP_EXT1/SCU0_010[28]</t>
    <phoneticPr fontId="1" type="noConversion"/>
  </si>
  <si>
    <t>OTPSTRAP_EXT1/SCU0_010[31]</t>
  </si>
  <si>
    <t>OTPSTRAP_EXT0/NA</t>
    <phoneticPr fontId="1" type="noConversion"/>
  </si>
  <si>
    <t>OTPSTRAP_EXT2/SCU1_030[0]</t>
    <phoneticPr fontId="1" type="noConversion"/>
  </si>
  <si>
    <t>OTPSTRAP_EXT2/SCU1_030[1]</t>
  </si>
  <si>
    <t>ROM clear SRAM
0: disable 1: enable</t>
    <phoneticPr fontId="1" type="noConversion"/>
  </si>
  <si>
    <t>6: 2</t>
    <phoneticPr fontId="1" type="noConversion"/>
  </si>
  <si>
    <t>8: 7</t>
    <phoneticPr fontId="1" type="noConversion"/>
  </si>
  <si>
    <t>10: 9</t>
    <phoneticPr fontId="1" type="noConversion"/>
  </si>
  <si>
    <t>15: 13</t>
    <phoneticPr fontId="1" type="noConversion"/>
  </si>
  <si>
    <t>OTPSTRAP_EXT2/SCU1_030[6:2]</t>
    <phoneticPr fontId="1" type="noConversion"/>
  </si>
  <si>
    <t>OTPSTRAP_EXT2/SCU1_030[8:7]</t>
    <phoneticPr fontId="1" type="noConversion"/>
  </si>
  <si>
    <t>OTPSTRAP_EXT2/SCU1_030[10:9]</t>
    <phoneticPr fontId="1" type="noConversion"/>
  </si>
  <si>
    <t>OTPSTRAP_EXT2/SCU1_030[11]</t>
    <phoneticPr fontId="1" type="noConversion"/>
  </si>
  <si>
    <t>OTPSTRAP_EXT2/SCU1_030[12]</t>
    <phoneticPr fontId="1" type="noConversion"/>
  </si>
  <si>
    <t>OTPSTRAP_EXT2/SCU1_030[15:13]</t>
    <phoneticPr fontId="1" type="noConversion"/>
  </si>
  <si>
    <t>2: 1</t>
    <phoneticPr fontId="1" type="noConversion"/>
  </si>
  <si>
    <t>5: 3</t>
    <phoneticPr fontId="1" type="noConversion"/>
  </si>
  <si>
    <t>15:14</t>
    <phoneticPr fontId="1" type="noConversion"/>
  </si>
  <si>
    <t>OTPSTRAP_EXT3/SCU1_030[16]</t>
    <phoneticPr fontId="1" type="noConversion"/>
  </si>
  <si>
    <t>OTPSTRAP_EXT3/SCU1_030[18:17]</t>
    <phoneticPr fontId="1" type="noConversion"/>
  </si>
  <si>
    <t>OTPSTRAP_EXT3/SCU1_030[21:19]</t>
    <phoneticPr fontId="1" type="noConversion"/>
  </si>
  <si>
    <t>OTPSTRAP_EXT3/SCU1_030[22]</t>
    <phoneticPr fontId="1" type="noConversion"/>
  </si>
  <si>
    <t>OTPSTRAP_EXT3/SCU1_030[24:23]</t>
    <phoneticPr fontId="1" type="noConversion"/>
  </si>
  <si>
    <t>OTPSTRAP_EXT3/SCU1_030[25]</t>
    <phoneticPr fontId="1" type="noConversion"/>
  </si>
  <si>
    <t>OTPSTRAP_EXT3/SCU1_030[26]</t>
    <phoneticPr fontId="1" type="noConversion"/>
  </si>
  <si>
    <t>OTPSTRAP_EXT3/SCU1_030[27]</t>
    <phoneticPr fontId="1" type="noConversion"/>
  </si>
  <si>
    <t>OTPSTRAP_EXT3/SCU1_030[28]</t>
    <phoneticPr fontId="1" type="noConversion"/>
  </si>
  <si>
    <t>OTPSTRAP_EXT3/SCU1_030[29]</t>
    <phoneticPr fontId="1" type="noConversion"/>
  </si>
  <si>
    <t>OTPSTRAP_EXT3/SCU1_030[31:30]</t>
    <phoneticPr fontId="1" type="noConversion"/>
  </si>
  <si>
    <t>2: 0</t>
    <phoneticPr fontId="1" type="noConversion"/>
  </si>
  <si>
    <t>5: 4</t>
    <phoneticPr fontId="1" type="noConversion"/>
  </si>
  <si>
    <t>15: 12</t>
    <phoneticPr fontId="1" type="noConversion"/>
  </si>
  <si>
    <t>OTPSTRAP_EXT4/SCU1_A00[2:0]</t>
    <phoneticPr fontId="1" type="noConversion"/>
  </si>
  <si>
    <t>OTPSTRAP_EXT4/SCU1_A00[3]</t>
  </si>
  <si>
    <t>OTPSTRAP_EXT4/SCU1_A00[5:4]</t>
  </si>
  <si>
    <t>OTPSTRAP_EXT4/SCU1_A00[6]</t>
  </si>
  <si>
    <t>OTPSTRAP_EXT4/SCU1_A00[7]</t>
  </si>
  <si>
    <t>OTPSTRAP_EXT4/SCU1_A00[8]</t>
  </si>
  <si>
    <t>OTPSTRAP_EXT4/SCU1_A00[9]</t>
  </si>
  <si>
    <t>OTPSTRAP_EXT4/SCU1_A00[10]</t>
  </si>
  <si>
    <t>OTPSTRAP_EXT4/SCU1_A00[11]</t>
  </si>
  <si>
    <t>OTPSTRAP_EXT4/SCU1_A00[15:12]</t>
  </si>
  <si>
    <t>Node0: Size of VGA RAM
0: 32MB 1: 64MB (DRAMC100[0])</t>
    <phoneticPr fontId="1" type="noConversion"/>
  </si>
  <si>
    <t>Enable Caliptra debug state
0: disable 1: enable</t>
    <phoneticPr fontId="1" type="noConversion"/>
  </si>
  <si>
    <t>Size of FW SPI Flash
7: 512MB. 6: 256MB. 5: 128MB. 4: 64MB. 3: 32MB. 2: 16MB. 1: 8MB. 0: disable</t>
    <phoneticPr fontId="1" type="noConversion"/>
  </si>
  <si>
    <t>Enable FWSPI auxiliary pins
FWSPIDQ2/FWSPIDQ3/FWSPIABR/FWSPIWP#</t>
    <phoneticPr fontId="1" type="noConversion"/>
  </si>
  <si>
    <t>Boot SPI Frequency Selection
2b'00: 12.5MHz (by default)
2b'01: 25MHz
2b'10: 40MHz
2b'11: 50MHz</t>
    <phoneticPr fontId="1" type="noConversion"/>
  </si>
  <si>
    <t>check flash is ready for accessing
0: disable 1: enable</t>
    <phoneticPr fontId="1" type="noConversion"/>
  </si>
  <si>
    <t>disable B if ABR enabled
0: enable 1: disable</t>
    <phoneticPr fontId="1" type="noConversion"/>
  </si>
  <si>
    <t>disable recovery mode after ABR
0: enable 1: disable</t>
    <phoneticPr fontId="1" type="noConversion"/>
  </si>
  <si>
    <t>Disable CS swap after dual flash ABR is triggerred
0: enable 1: disable</t>
    <phoneticPr fontId="1" type="noConversion"/>
  </si>
  <si>
    <t>FMC abr mode
0: dual flash ABR
1: single flash ABR</t>
    <phoneticPr fontId="1" type="noConversion"/>
  </si>
  <si>
    <t>Selection of SIO decode address
0: 0x2E. 1: 0x4E</t>
    <phoneticPr fontId="1" type="noConversion"/>
  </si>
  <si>
    <t>Enable eDAF
Only takes effect for eSPI mode</t>
    <phoneticPr fontId="1" type="noConversion"/>
  </si>
  <si>
    <t>OTPSTRAP_EXT5/NA</t>
    <phoneticPr fontId="1" type="noConversion"/>
  </si>
  <si>
    <t>OTPSTRAP_EXT6/NA</t>
    <phoneticPr fontId="1" type="noConversion"/>
  </si>
  <si>
    <t>OTPSTRAP_EXT6/SCU0_A70[0]</t>
    <phoneticPr fontId="1" type="noConversion"/>
  </si>
  <si>
    <t>OTPSTRAP_EXT6/SCU0_A70[1]</t>
  </si>
  <si>
    <t>OTPSTRAP_EXT6/SCU0_A70[2]</t>
  </si>
  <si>
    <t>OTPSTRAP_EXT6/SCU0_A70[3]</t>
  </si>
  <si>
    <t>OTPSTRAP_EXT6/SCU0_AF0[0]</t>
    <phoneticPr fontId="1" type="noConversion"/>
  </si>
  <si>
    <t>OTPSTRAP_EXT6/SCU0_AF0[1]</t>
  </si>
  <si>
    <t>OTPSTRAP_EXT6/SCU0_AF0[2]</t>
  </si>
  <si>
    <t>OTPSTRAP_EXT6/SCU0_AF0[3]</t>
  </si>
  <si>
    <t>OTPSTRAP_EXT7/NA</t>
    <phoneticPr fontId="1" type="noConversion"/>
  </si>
  <si>
    <t>Name</t>
    <phoneticPr fontId="1" type="noConversion"/>
  </si>
  <si>
    <t>otpstrap_wr_prot_lsb</t>
    <phoneticPr fontId="1" type="noConversion"/>
  </si>
  <si>
    <t>otpstrap_wr_prot_msb</t>
    <phoneticPr fontId="1" type="noConversion"/>
  </si>
  <si>
    <t>Write protection of OTPSTRAP[15: 0]</t>
    <phoneticPr fontId="1" type="noConversion"/>
  </si>
  <si>
    <t>Write protection of OTPSTRAP[31:16]</t>
    <phoneticPr fontId="1" type="noConversion"/>
  </si>
  <si>
    <t>otpstrap_ext0_valid</t>
    <phoneticPr fontId="1" type="noConversion"/>
  </si>
  <si>
    <t>OTPSTRAP_EXT source valid
0: SCU result keep as is
1: SCU result always sel from OTPSTRAP_EXT</t>
    <phoneticPr fontId="1" type="noConversion"/>
  </si>
  <si>
    <t>43A</t>
    <phoneticPr fontId="1" type="noConversion"/>
  </si>
  <si>
    <t>43B</t>
    <phoneticPr fontId="1" type="noConversion"/>
  </si>
  <si>
    <t>43C</t>
    <phoneticPr fontId="1" type="noConversion"/>
  </si>
  <si>
    <t>43D</t>
    <phoneticPr fontId="1" type="noConversion"/>
  </si>
  <si>
    <t>43E</t>
    <phoneticPr fontId="1" type="noConversion"/>
  </si>
  <si>
    <t>43F</t>
    <phoneticPr fontId="1" type="noConversion"/>
  </si>
  <si>
    <t>otpstrap_ext1_valid</t>
    <phoneticPr fontId="1" type="noConversion"/>
  </si>
  <si>
    <t>otpstrap_ext2_valid</t>
  </si>
  <si>
    <t>otpstrap_ext3_valid</t>
  </si>
  <si>
    <t>otpstrap_ext4_valid</t>
  </si>
  <si>
    <t>otpstrap_ext5_valid</t>
  </si>
  <si>
    <t>otpstrap_ext6_valid</t>
  </si>
  <si>
    <t>otpstrap_ext7_valid</t>
  </si>
  <si>
    <t>440</t>
    <phoneticPr fontId="1" type="noConversion"/>
  </si>
  <si>
    <t>Vault Key 0 header</t>
    <phoneticPr fontId="1" type="noConversion"/>
  </si>
  <si>
    <t>Vault Key 1 header</t>
  </si>
  <si>
    <t>Vault Key 2 header</t>
  </si>
  <si>
    <t>Vault Key 3 header</t>
  </si>
  <si>
    <t>Reserved (60)</t>
    <phoneticPr fontId="1" type="noConversion"/>
  </si>
  <si>
    <t>1919: 0</t>
    <phoneticPr fontId="1" type="noConversion"/>
  </si>
  <si>
    <t>Vault Key 0</t>
    <phoneticPr fontId="1" type="noConversion"/>
  </si>
  <si>
    <t>Vault Key 1</t>
  </si>
  <si>
    <t>Vault Key 2</t>
  </si>
  <si>
    <t>Vault Key 3</t>
  </si>
  <si>
    <t>383: 0</t>
    <phoneticPr fontId="1" type="noConversion"/>
  </si>
  <si>
    <t>39423: 0</t>
    <phoneticPr fontId="1" type="noConversion"/>
  </si>
  <si>
    <t>255: 0</t>
    <phoneticPr fontId="1" type="noConversion"/>
  </si>
  <si>
    <t>511: 0</t>
    <phoneticPr fontId="1" type="noConversion"/>
  </si>
  <si>
    <t>255: 0</t>
    <phoneticPr fontId="1" type="noConversion"/>
  </si>
  <si>
    <t>383: 0</t>
    <phoneticPr fontId="1" type="noConversion"/>
  </si>
  <si>
    <t>Caliptra fuse: OWNER PK HASH</t>
    <phoneticPr fontId="1" type="noConversion"/>
  </si>
  <si>
    <t>Reserved</t>
    <phoneticPr fontId="1" type="noConversion"/>
  </si>
  <si>
    <t>LTPI deprecated in A2</t>
    <phoneticPr fontId="1" type="noConversion"/>
  </si>
  <si>
    <t>42E</t>
    <phoneticPr fontId="1" type="noConversion"/>
  </si>
  <si>
    <t>Reserved</t>
    <phoneticPr fontId="1" type="noConversion"/>
  </si>
  <si>
    <t>42F</t>
    <phoneticPr fontId="1" type="noConversion"/>
  </si>
  <si>
    <t>15: 1</t>
    <phoneticPr fontId="1" type="noConversion"/>
  </si>
  <si>
    <t>eccbrp_en</t>
    <phoneticPr fontId="1" type="noConversion"/>
  </si>
  <si>
    <t>enable ecc/brp (except otpstrap/otprbp)</t>
    <phoneticPr fontId="1" type="noConversion"/>
  </si>
  <si>
    <t>42A</t>
    <phoneticPr fontId="1" type="noConversion"/>
  </si>
  <si>
    <t>42B</t>
    <phoneticPr fontId="1" type="noConversion"/>
  </si>
  <si>
    <t>42C</t>
    <phoneticPr fontId="1" type="noConversion"/>
  </si>
  <si>
    <t>42D</t>
    <phoneticPr fontId="1" type="noConversion"/>
  </si>
  <si>
    <t>Duplicate of 422</t>
  </si>
  <si>
    <t>Duplicate of 423</t>
  </si>
  <si>
    <t>Reserved</t>
    <phoneticPr fontId="1" type="noConversion"/>
  </si>
  <si>
    <t>40A</t>
  </si>
  <si>
    <t>DBG</t>
    <phoneticPr fontId="1" type="noConversion"/>
  </si>
  <si>
    <t>Reference to datasheet SCU1_0C8</t>
    <phoneticPr fontId="1" type="noConversion"/>
  </si>
  <si>
    <t>Reserved</t>
    <phoneticPr fontId="0" type="noConversion"/>
  </si>
  <si>
    <t>Reference to datasheet SCU0_0C8</t>
  </si>
  <si>
    <t>Reference to datasheet SCU0_0C8</t>
    <phoneticPr fontId="1" type="noConversion"/>
  </si>
  <si>
    <t>OTPCFG9/SCU1_890</t>
  </si>
  <si>
    <t>OTPCFG9/SCU1_890</t>
    <phoneticPr fontId="1" type="noConversion"/>
  </si>
  <si>
    <t>en_auto_load SCU debug control</t>
    <phoneticPr fontId="1" type="noConversion"/>
  </si>
  <si>
    <t>SCU0_DIS_RSA_PRIV_KEY_READ</t>
  </si>
  <si>
    <t>SCU0_DIS_XDMA_VGA</t>
  </si>
  <si>
    <t>SCU0_DIS_L2A</t>
  </si>
  <si>
    <t>SCU0_DIS_PCIE_TRACE_BUF</t>
  </si>
  <si>
    <t>SCU0_DIS_XDMA</t>
  </si>
  <si>
    <t>SCU1_DIS_WDT_RSTFULL</t>
  </si>
  <si>
    <t>SCU1_DIS_UART_DBG</t>
  </si>
  <si>
    <t>SCU1_DIS_LPC1_BRIDGE_2</t>
  </si>
  <si>
    <t>SCU1_DIS_LPC0_BRIDGE_2</t>
  </si>
  <si>
    <t>SCU1_DIS_LPC1_BRIDGE_1</t>
  </si>
  <si>
    <t>SCU1_DIS_LPC0_BRIDGE_1</t>
  </si>
  <si>
    <t>SCU1_DIS_ESPI1_AHB</t>
  </si>
  <si>
    <t>SCU1_DIS_ESPI0_AHB</t>
  </si>
  <si>
    <t>SCU0_DIS_UART_DBG</t>
    <phoneticPr fontId="1" type="noConversion"/>
  </si>
  <si>
    <t>SCU0_DIS_WDT_RSTFULL</t>
    <phoneticPr fontId="1" type="noConversion"/>
  </si>
  <si>
    <t>en_auto_load_secure0</t>
  </si>
  <si>
    <t>en_auto_load_cptra0</t>
  </si>
  <si>
    <t>udbg_to_sel</t>
    <phoneticPr fontId="1" type="noConversion"/>
  </si>
  <si>
    <t>Caliptra Owner public key hash retire</t>
    <phoneticPr fontId="1" type="noConversion"/>
  </si>
  <si>
    <t>Enable otp patch 1
0: otp rom patch 1 is invalid
1: otp rom patch 1 is valid</t>
    <phoneticPr fontId="1" type="noConversion"/>
  </si>
  <si>
    <t>Selection of IO for Uart Debug
0: IO12 1: IO0</t>
    <phoneticPr fontId="1" type="noConversion"/>
  </si>
  <si>
    <t>boot storage ABR enable
0: disable 1: enable</t>
    <phoneticPr fontId="1" type="noConversion"/>
  </si>
  <si>
    <t>rd_protect_otp_usr0</t>
    <phoneticPr fontId="1" type="noConversion"/>
  </si>
  <si>
    <t>wr_protect_otp_usr0</t>
    <phoneticPr fontId="1" type="noConversion"/>
  </si>
  <si>
    <t>rd_protect_otp_usr1</t>
    <phoneticPr fontId="1" type="noConversion"/>
  </si>
  <si>
    <t>wr_protect_otp_usr1</t>
    <phoneticPr fontId="1" type="noConversion"/>
  </si>
  <si>
    <t>rd_protect_otp_usr2</t>
    <phoneticPr fontId="1" type="noConversion"/>
  </si>
  <si>
    <t>wr_protect_otp_usr2</t>
    <phoneticPr fontId="1" type="noConversion"/>
  </si>
  <si>
    <t>rd_protect_otp_usr3</t>
    <phoneticPr fontId="1" type="noConversion"/>
  </si>
  <si>
    <t>wr_protect_otp_usr3</t>
    <phoneticPr fontId="1" type="noConversion"/>
  </si>
  <si>
    <t>Enable Read protect for OTP region user 1</t>
    <phoneticPr fontId="1" type="noConversion"/>
  </si>
  <si>
    <t>Enable Write protect for OTP region user 1</t>
    <phoneticPr fontId="1" type="noConversion"/>
  </si>
  <si>
    <t>Enable Read protect for OTP region user 2</t>
    <phoneticPr fontId="1" type="noConversion"/>
  </si>
  <si>
    <t>Enable Write protect for OTP region user 2</t>
    <phoneticPr fontId="1" type="noConversion"/>
  </si>
  <si>
    <t>Enable Read protect for OTP region user 3</t>
    <phoneticPr fontId="1" type="noConversion"/>
  </si>
  <si>
    <t>Enable Write protect for OTP region user 3</t>
    <phoneticPr fontId="1" type="noConversion"/>
  </si>
  <si>
    <t>NOTICE:</t>
    <phoneticPr fontId="1" type="noConversion"/>
  </si>
  <si>
    <t>ASPEED provisioned - Bit 1</t>
    <phoneticPr fontId="1" type="noConversion"/>
  </si>
  <si>
    <t>ASPEED provisioned - Bit 23</t>
    <phoneticPr fontId="1" type="noConversion"/>
  </si>
  <si>
    <t>Reserved for usr0</t>
    <phoneticPr fontId="1" type="noConversion"/>
  </si>
  <si>
    <t>Reserved for usr1</t>
    <phoneticPr fontId="1" type="noConversion"/>
  </si>
  <si>
    <t>5119: 0</t>
    <phoneticPr fontId="1" type="noConversion"/>
  </si>
  <si>
    <t>580</t>
    <phoneticPr fontId="1" type="noConversion"/>
  </si>
  <si>
    <t>6C0</t>
    <phoneticPr fontId="1" type="noConversion"/>
  </si>
  <si>
    <t>175: 0</t>
    <phoneticPr fontId="1" type="noConversion"/>
  </si>
  <si>
    <t>15:4</t>
    <phoneticPr fontId="1" type="noConversion"/>
  </si>
  <si>
    <t>retire_mechanism_option</t>
    <phoneticPr fontId="1" type="noConversion"/>
  </si>
  <si>
    <t>Version</t>
  </si>
  <si>
    <t>Updates</t>
  </si>
  <si>
    <t>Note</t>
  </si>
  <si>
    <t>Version Update History</t>
  </si>
  <si>
    <t>15: 14</t>
    <phoneticPr fontId="1" type="noConversion"/>
  </si>
  <si>
    <t>v2p4</t>
    <phoneticPr fontId="1" type="noConversion"/>
  </si>
  <si>
    <t>The blue color fields show what would be provisioned by ASPEED.
OTPROM, OTPCFG, OTPSTRAP, OTPUSR, OTPCAL, OTPPUF</t>
    <phoneticPr fontId="1" type="noConversion"/>
  </si>
  <si>
    <t>11: 10</t>
    <phoneticPr fontId="1" type="noConversion"/>
  </si>
  <si>
    <t>Caliptra fuse: RUNTIME SVN
Effect: Secure boot is enabled
Policy: RUNTIME SVN &gt;= HW RUNTIME SVN</t>
    <phoneticPr fontId="1" type="noConversion"/>
  </si>
  <si>
    <t>Caliptra Owner public key hash retire
Caliptra owner pk hash is used to populate into Caliptra fuse for Caliptra owner keys verification. AST27x0 supports up to 16 Caliptra owner pk hash and supports pk hash retirement feature.
Check Caliptra spec for more details. (https://github.com/chipsalliance/Caliptra/blob/main/doc/caliptra_1x/Caliptra.md)
Effect: Secure boot is enabled
Policy: OTPCFG0[8]</t>
  </si>
  <si>
    <t>SoC Manifest hardware SVN
SoC Manifest SVN must be equal to or greater than hardware SVN for rollback prevention otherwise the secure boot check is failure. It's implemented a hardware write protection to prevent malicious attack, the new SVN (to-be prog) must be smaller than or equal to current SVN.
Effect: Secure boot is enabled
Boot up Policy: SoC Manifest SVN &gt;= HW SoC Manifest SVN</t>
  </si>
  <si>
    <t>Disable OTP Memory Factory Test Mode
0: enable
1: disable
to prevent security issue of OTP memory. Disabled BIST mode is recommended.</t>
  </si>
  <si>
    <t>Enable Secure Boot
0:disable
1:enable
Once it's enabled, the secure boot is always enforced and there is no way to disable it.</t>
  </si>
  <si>
    <t>Enable key retirement mechanism option 
0: can only retire itself key #id
1: can retire others key #id except itself
There are some key retire bits in OTPRBP region (ex: OTPRBP0/1/3) used to be programmed if the keys need to be retired. This option chooses the retire mechanism policy for different use cases.</t>
  </si>
  <si>
    <t>Enable eMMC software reset
0: eMMC software reset disable, use HW pin strap to do hardware reset
1: eMMC software reset enable. Always do software reset</t>
  </si>
  <si>
    <t>Disable ROM Patch code
0: If the OTPCFG2[0] is set, the Boot ROM would
execute the OTP patch codes which has been programmed into
OTPROM region.
1: The Boot ROM would ignore pre ROM patch.
The ROM patch is the early stage of the boot ROM boot process.</t>
  </si>
  <si>
    <t>OTP Patch 1 code size (unit: word)
The Boot ROM can execute OTP patch codes in OTPROM region. The OTP patch code size is limited to 16Kbit.</t>
  </si>
  <si>
    <t>OTP Patch 2 code size (unit: word)
The Boot ROM can execute OTP patch codes in OTPROM region. The OTP patch code size is limited to 16Kbit.</t>
  </si>
  <si>
    <t>Enable auto load debug control SCU0_0C8/SCU1_0C8 setting
0:disable
1:enable to auto load SCU0_0C8/SCU1_0C8 value
After SCU0_0C8 is loaded, the write protection SCU0_E04[18] will be set.
After SCU1_0C8 is loaded, the write protection SCU1_B04[18] will be set.</t>
  </si>
  <si>
    <t>Enable auto load OTP secure0 ctrl setting of OTP register.
Once it's enabled, r/w protection, offset, and size of OTP secure0 value below would be loaded into OTP controller registers as a hardware default value.</t>
  </si>
  <si>
    <t>Enable to turn off UART5 Tx Discard</t>
  </si>
  <si>
    <t>Enable to turn off UART3 Tx Discard</t>
  </si>
  <si>
    <t>Enable to turn off UART2 Tx Discard</t>
  </si>
  <si>
    <t>Enable to turn off UART1 Tx Discard</t>
  </si>
  <si>
    <t>Enable to turn off UART0 Tx Discard</t>
  </si>
  <si>
    <t>Enable to turn off UART10 Tx Discard</t>
  </si>
  <si>
    <t>Enable to turn off UART9 Tx Discard</t>
  </si>
  <si>
    <t>Enable to turn off UART8 Tx Discard</t>
  </si>
  <si>
    <t>Enable to turn off UART7 Tx Discard</t>
  </si>
  <si>
    <t>Enable to turn off UART6 Tx Discard</t>
  </si>
  <si>
    <t>Enable UART to put all boot message and wait the completetion</t>
  </si>
  <si>
    <t>Enable Mode-0 hub to support 23 ports</t>
  </si>
  <si>
    <t>Enable to turn off UART15 Tx Discard</t>
  </si>
  <si>
    <t>Enable to turn off UART12 Tx Discard</t>
  </si>
  <si>
    <t>Enable to turn off UART11 Tx Discard</t>
  </si>
  <si>
    <t>Enable auto load OTP cptra0 ctrl setting of OTP register.
Once it's enabled, r/w protection, offset, and size of OTP cptra0 value below would be loaded into OTP controller registers as a hardware default value.</t>
  </si>
  <si>
    <t>OTP Patch 3 code size (unit: word)
The Boot ROM can execute OTP patch codes in OTPROM region. The OTP patch code size is limited to 16Kbit.</t>
  </si>
  <si>
    <t>OTP Patch 4 code size (unit: word)
The Boot ROM can execute OTP patch codes in OTPROM region. The OTP patch code size is limited to 16Kbit.</t>
  </si>
  <si>
    <t>OTP Patch 5 code size (unit: word)
The Boot ROM can execute OTP patch codes in OTPROM region. The OTP patch code size is limited to 16Kbit.</t>
  </si>
  <si>
    <t>AST27x0 has two die, one is IO-die, the other is CPU-die.
In case of there has some errors between die-to-die connection, this field is a backup solution to boot from CPU-die.</t>
  </si>
  <si>
    <t>VGA linear memory size
SW-ROM write to DRAMC100[0]</t>
  </si>
  <si>
    <t>Enable secure boot for production, but allow it to be disabled for debugging.</t>
  </si>
  <si>
    <t>WDT full chip reset function can reset full chip. This field can disable full chip, WDT0C[6:5] = 2b'01, reset function permanently to prevent malicious attack.
Note: This bit must be set together with OTPSTRAP_EXT[25].</t>
  </si>
  <si>
    <t>Disable JTAG to Caliptra permanently
0: enable 1: disable</t>
  </si>
  <si>
    <t>This bit is used to disable Caliptra JTAG permanently.</t>
  </si>
  <si>
    <t>Boot ROM has an option to enable interrupts for backup solution.</t>
  </si>
  <si>
    <t>Disable BootMCU ROM &amp; jump to FMC
0: enable 1: disable
(wlock)</t>
  </si>
  <si>
    <t>This bit must be kept cleared (0) and write-locked after the MP stage, as it is used to bypass the BootMCU ROM code.
Enabling this bit may result in unexpected or unsafe boot behavior and is therefore not recommended for normal operation.</t>
  </si>
  <si>
    <t>When booting from eMMC or UFS is selected via an external pin strap, this bit is used to select the BMC boot source between eMMC and UFS.</t>
  </si>
  <si>
    <t>Allow BROM to wait SPI flash ready bit
0: disable 1: enable</t>
  </si>
  <si>
    <t>When this bit is enabled, the BMC checks the ready/busy status of the FWSPI flash before reading the boot image, to handle cases where a warm reset occurs during erase or program operations. The BMC determines the flash status by issuing the 05h (Read Status Register) command and polling the WIP (Write In Progress) bit. The BMC will wait until the flash becomes ready, with a maximum wait time of 16 seconds, before accessing the boot image.</t>
  </si>
  <si>
    <t>Use 4-byte command to read flash
0: disable 1: enable</t>
  </si>
  <si>
    <t>SPI_Flash_4_Byte_Mode is used to prevent address mode mismatch between the BMC and the SPI flash.
After a full chip reset or when the SRST# pin is not connected to the SPI flash, the BMC always resets to 3-byte address mode, while the SPI flash may remain in 4-byte address mode. This mismatch can cause SPI access failures and lead to boot-up issues. When this OTP bit is enabled, the BMC will use dedicated 4-byte address SPI instructions, 13h, to read the flash. These instructions can correctly read flash data regardless of the current address mode of the flash, ensuring reliable boot behavior.</t>
  </si>
  <si>
    <t>When recovery mode is enabled, the default recovery interface is UART. This field allows users to select different recovery interface.</t>
  </si>
  <si>
    <t>This is an option if customer don't need Caliptra in AST27x0.</t>
  </si>
  <si>
    <t>The optional bit is reserved for an external UFS oscillator as an alternative solution. This oscillator is a 1.2 V, 26 MHz source that provides input to both the MPHY reference clock and the UFS device simultaneously. Under normal conditions, we use an internal clock source for the MPHY. However, in case high-temperature conditions cause the PLL to become unstable, we have several fallback options for the MPHY reference clock.</t>
  </si>
  <si>
    <t>If users still want to debug in Normal world, but Secure world is not allowed for security. This is an option to disable it.</t>
  </si>
  <si>
    <t>WDT full chip reset function can reset full chip. This field can disable full chip, WDT0C[6:5] = 2b'01, reset function permanently to prevent malicious attack.</t>
  </si>
  <si>
    <t>Uart Debug timeout selection
default: unlimited
need to sync CPU-die reg</t>
  </si>
  <si>
    <t>Note: This bit must be set together with OTPSTRAP[18].</t>
  </si>
  <si>
    <t>This bit is used to enable ABR machenism.</t>
  </si>
  <si>
    <t>When this bit is set and a secure-related error is detected, the image previously loaded into SRAM will be cleared, preventing the execution of potentially invalid or compromised code.
Note: Enabling this bit may affect the problem debug process, as the original failure context or error location in SRAM may be cleared and no longer observable.</t>
  </si>
  <si>
    <t>This is the source of Caliptra security state. It populates into Caliptra fuse map. See Caliptra spec for more details. (https://github.com/chipsalliance/Caliptra/blob/main/doc/caliptra_1x/Caliptra.md#caliptra-security-states)</t>
  </si>
  <si>
    <t>When single-flash ABR mode is enabled, this field must be set to specify the FWSPI flash size. When a single-flash ABR event is triggered, the BMC will fetch the boot image from an offset equal to half of the flash size, based on the value configured in this field.</t>
  </si>
  <si>
    <t>When this bit is enabled, system can force BMC to boot from alternate flash part by controlling an external pin signal, pull high.</t>
  </si>
  <si>
    <t>After power-on or reset, the FWSPI clock frequency defaults to 12.5 MHz for booting purposes. This field allows system developers to configure the FWSPI clock frequency used during the boot stage only and does not affect the FWSPI clock after the system has booted.</t>
  </si>
  <si>
    <t>When this bit is enabled, the BMC will verify the existence of the FWSPI flash before attempting to read the boot image. The BMC checks for flash presence by reading the SFDP (Serial Flash Discoverable Parameters) magic number, which is a standard identifier supported by common SPI NOR flash devices. If the flash device is not detected, the BMC will wait for up to 7 seconds before proceeding, allowing time for the flash to become available and avoiding premature boot failures.</t>
  </si>
  <si>
    <t>When ABR is enabled, by default on AST2700, if the BMC fails to boot from part A, it will attempt to boot from part B after WDTA timeout. If part B also fails to boot, the BMC will enter recovery mode after another WDTA timeout. The default boot sequence is: "Part A → Part B → Recovery". When ABR_RECOVERY_DIS is set, the recovery behavior is disabled, and the boot sequence becomes: "Part A → Part B → Part A → Part B → …"</t>
  </si>
  <si>
    <t>This bit is not recommended to be enabled on AST2700 A1 and A2 and is provided only as a backup solution for the dual-flash ABR mechanism. By default, when the dual-flash ABR mechanism is triggered, the BMC hardware will automatically swap the address space of FWSPI CS0 and CS1 to select the backup flash. When this bit is set, the hardware will not perform the CS0/CS1 address space swap, and the dual-flash ABR mechanism relies on software handling instead.</t>
  </si>
  <si>
    <t>This bit is used to select the ABR operating mode.
- When dual-flash ABR mode is selected, this bit must be cleared.
- When single-flash ABR mode is selected, this bit must be set.</t>
  </si>
  <si>
    <t>Reserved for customers (OEM/ODM)</t>
  </si>
  <si>
    <t>Header used to describe the key type, offset, etc.</t>
  </si>
  <si>
    <t>Secure vault key is dedicated to encryption/decryption.</t>
  </si>
  <si>
    <t>Start address (word)</t>
  </si>
  <si>
    <t>Bit</t>
  </si>
  <si>
    <t>Size (bit)</t>
  </si>
  <si>
    <t>Size (byte)</t>
  </si>
  <si>
    <t>Size (word)</t>
  </si>
  <si>
    <t>Description</t>
  </si>
  <si>
    <t>1C00</t>
  </si>
  <si>
    <t>Enable LMS verify</t>
  </si>
  <si>
    <t>15: 1</t>
  </si>
  <si>
    <t>reserved</t>
  </si>
  <si>
    <t>Anti-Rollback</t>
  </si>
  <si>
    <t>Field Entropy</t>
  </si>
  <si>
    <t>255: 0</t>
  </si>
  <si>
    <t>Caliptra fuse: FIELD ENTROPY
Owner secret to hedge against UDS disclosure in the supply chain</t>
  </si>
  <si>
    <t>DICE</t>
  </si>
  <si>
    <t>383: 0</t>
  </si>
  <si>
    <t>767: 0</t>
  </si>
  <si>
    <t>127: 0</t>
  </si>
  <si>
    <t>IDEVID TBS</t>
  </si>
  <si>
    <t>8191: 0</t>
  </si>
  <si>
    <t>to-be-signed (TBS) payload.
The TBS is the certificate template already patched with the IDevID public key, Subject Key Identifier, serial number, and any extensions that are unique to the device that the vendor may have included.
Maximum size is 916 bytes according to mailbox command</t>
  </si>
  <si>
    <t>IDEVID Certificate Signature R &amp; S</t>
  </si>
  <si>
    <t>3807: 0</t>
  </si>
  <si>
    <t>Actual</t>
  </si>
  <si>
    <t>1F80</t>
  </si>
  <si>
    <t>PUF</t>
  </si>
  <si>
    <t>Reserved for customers</t>
  </si>
  <si>
    <t>Caliptra OBF Key (HW auto load)</t>
  </si>
  <si>
    <t>Reserved for SCU1_7E0</t>
  </si>
  <si>
    <t>v2p3</t>
  </si>
  <si>
    <t>1. Added OTPCFG0[8] retire_mechanism_option to support different key retirement policies.
2. Removed the SoC FMC Hardware SVN field from the OTPRBP region.
3. Updated the reserved field allocation in the OTPRBP region.</t>
  </si>
  <si>
    <t>v2p4</t>
  </si>
  <si>
    <t>37887: 0</t>
    <phoneticPr fontId="1" type="noConversion"/>
  </si>
  <si>
    <t>Used for ROM patch code. (usr2 &amp; usr3)</t>
    <phoneticPr fontId="1" type="noConversion"/>
  </si>
  <si>
    <r>
      <t xml:space="preserve">The Device Life Cycle State (LCS). It's the source of Security State.
0: Un-provisioned
</t>
    </r>
    <r>
      <rPr>
        <b/>
        <sz val="12"/>
        <color theme="4"/>
        <rFont val="Calibri"/>
        <family val="2"/>
      </rPr>
      <t>1: Manufacturing</t>
    </r>
    <r>
      <rPr>
        <sz val="12"/>
        <color theme="1"/>
        <rFont val="Calibri"/>
        <family val="2"/>
      </rPr>
      <t xml:space="preserve">
2: Reserved
3: Production
The LCS is populated in Caliptra fuse. It's configured to Manufacturing during ASPEED manufacturing.</t>
    </r>
    <phoneticPr fontId="1" type="noConversion"/>
  </si>
  <si>
    <r>
      <rPr>
        <b/>
        <sz val="12"/>
        <color theme="1"/>
        <rFont val="Calibri"/>
        <family val="2"/>
      </rPr>
      <t>Caliptra fuse: LMS VERIFY</t>
    </r>
    <r>
      <rPr>
        <sz val="12"/>
        <color theme="1"/>
        <rFont val="Calibri"/>
        <family val="2"/>
      </rPr>
      <t xml:space="preserve">
Verify Caliptra firmware images with both ECDSA and LMS</t>
    </r>
    <phoneticPr fontId="1" type="noConversion"/>
  </si>
  <si>
    <r>
      <rPr>
        <b/>
        <sz val="12"/>
        <color theme="1"/>
        <rFont val="Calibri"/>
        <family val="2"/>
      </rPr>
      <t>Caliptra fuse: ANTI-ROLLBACK DISABLE</t>
    </r>
    <r>
      <rPr>
        <sz val="12"/>
        <color theme="1"/>
        <rFont val="Calibri"/>
        <family val="2"/>
      </rPr>
      <t xml:space="preserve">
Disable anti-rollback support from Caliptra</t>
    </r>
    <phoneticPr fontId="1" type="noConversion"/>
  </si>
  <si>
    <r>
      <rPr>
        <b/>
        <sz val="12"/>
        <color theme="1"/>
        <rFont val="Calibri"/>
        <family val="2"/>
      </rPr>
      <t>Caliptra fuse: KEY MANIFEST PK HASH</t>
    </r>
    <r>
      <rPr>
        <sz val="12"/>
        <color theme="1"/>
        <rFont val="Calibri"/>
        <family val="2"/>
      </rPr>
      <t xml:space="preserve">
Manufacture/Vendor key hash
Single-HSM:
428d18b0b49192c0163b4e0b2e231d20eef3ae37f8046c09
a31911e3f6875a9a287342c58c7f8d68b69fafe1dd27b2dc
Dual-HSM:
ddd4b37b7773fb84c5fabf2ce55f6035b64190f9ae4cc3c1
0b385b81f11b1aebd813ae0f6e8be8f0c2c3575ea0bbd9fd</t>
    </r>
    <phoneticPr fontId="1" type="noConversion"/>
  </si>
  <si>
    <r>
      <rPr>
        <b/>
        <sz val="12"/>
        <color theme="1"/>
        <rFont val="Calibri"/>
        <family val="2"/>
      </rPr>
      <t>Caliptra fuse: IDEVID CERT IDEVID ATTR</t>
    </r>
    <r>
      <rPr>
        <sz val="12"/>
        <color theme="1"/>
        <rFont val="Calibri"/>
        <family val="2"/>
      </rPr>
      <t xml:space="preserve">
The information for generating IDEVID CSR
DW 0: X509 key ID algorithm
0: SHA1
1: SHA256
</t>
    </r>
    <r>
      <rPr>
        <b/>
        <sz val="12"/>
        <color theme="4"/>
        <rFont val="Calibri"/>
        <family val="2"/>
      </rPr>
      <t>2: SHA384</t>
    </r>
    <r>
      <rPr>
        <sz val="12"/>
        <color theme="1"/>
        <rFont val="Calibri"/>
        <family val="2"/>
      </rPr>
      <t xml:space="preserve">
3: Fuse → already programmed DW 1/2/3/4/5, not runtime gen
DW 1/2/3/4/5: Subject Key ID
</t>
    </r>
    <r>
      <rPr>
        <b/>
        <sz val="12"/>
        <color theme="4"/>
        <rFont val="Calibri"/>
        <family val="2"/>
      </rPr>
      <t>DW 6: ueid_type (0x1: random)</t>
    </r>
    <r>
      <rPr>
        <sz val="12"/>
        <color theme="1"/>
        <rFont val="Calibri"/>
        <family val="2"/>
      </rPr>
      <t xml:space="preserve">
</t>
    </r>
    <r>
      <rPr>
        <b/>
        <sz val="12"/>
        <color theme="4"/>
        <rFont val="Calibri"/>
        <family val="2"/>
      </rPr>
      <t>DW 7/8/9/10: Unique endpoint ID (Manufacture Serial number)</t>
    </r>
    <phoneticPr fontId="1" type="noConversion"/>
  </si>
  <si>
    <r>
      <rPr>
        <b/>
        <sz val="12"/>
        <color theme="1"/>
        <rFont val="Calibri"/>
        <family val="2"/>
      </rPr>
      <t>Caliptra fuse: IDEVID MANUF HSM IDENTIFIER</t>
    </r>
    <r>
      <rPr>
        <sz val="12"/>
        <color theme="1"/>
        <rFont val="Calibri"/>
        <family val="2"/>
      </rPr>
      <t xml:space="preserve">
Vendor IDevID provisioner CA identifiers</t>
    </r>
    <phoneticPr fontId="1" type="noConversion"/>
  </si>
  <si>
    <t>1. Removed OTPCFG2[14] dis_cptra_owner_key_retry; OTPCFG2[15:14] is now reserved.
2. Changed OTPUSR2 (0x6C0–0x7FF) from customer-reserved space to a ROM patch region, expanding the ROM patch range to 0x6C0–0xFFF.
3. Added the following fields to ASPEED provisioning:
    a. OTPCFG0[13] dis_otp_bist
    b. OTPCFG6[0] otp_patch_vld 2, OTPCFG6[10:1] OTP Patch Code location 2
    c. OTPCFG7[9:0] OTP Patch Size 2
    d. OTPCFG11[5] wr_protect_otp_usr2
    e. OTPUSR2 ROM patch region
4. Removed the following fields from ASPEED provisioning:
    a. OTPCFG26[0] otp_patch_vld 4, OTPCFG26[10:1] OTP Patch Code location 4
    b. OTPCFG27[9:0] OTP Patch Size 4
    c. OTPCFG28[0] otp_patch_vld 5, OTPCFG28[10:1] OTP Patch Code location 5 
    d. OTPCFG29[9:0] OTP Patch Size 5
5. Corrected the OTPRBP Reserved[15:4] start address from 0x3F3 to 0x3F2.
6. Added the Single-HSM and Dual-HSM manufacturing key hash reference values in the OTPCAL region.
7. Added the Version History worksheet.
8. Corrected typographical errors caused by an unintended replacement of "to" with "of" across multiple worksheets.
9. Added the missing OTPCAL Reserved fields at 0x1C00[15:1] and 0x1C01[15:1].
10. Corrected the Caliptra Runtime Hardware SVN policy description
    from "FMC SVN &gt;= HW FMC SVN" to
    "RUNTIME SVN &gt;= HW RUNTIME SVN".
11. Corrected the following OTPSTRAP_EXT bit field definitions:
    a. OTPSTRAP_EXT1 udbg_to_sel from 11:10:00 to 11:10.
    b. OTPSTRAP_EXT7 Reserved from bit 15 to bits 15:0.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</si>
</sst>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_);[Red]\(0\)"/>
    <numFmt numFmtId="178" formatCode="0.0"/>
  </numFmts>
  <fonts count="22" x14ac:knownFonts="1">
    <font>
      <sz val="12"/>
      <color theme="1"/>
      <name val="新細明體"/>
      <family val="2"/>
      <charset val="136"/>
      <scheme val="minor"/>
    </font>
    <font>
      <sz val="9"/>
      <name val="新細明體"/>
      <family val="2"/>
      <charset val="136"/>
      <scheme val="minor"/>
    </font>
    <font>
      <u/>
      <sz val="12"/>
      <color theme="10"/>
      <name val="新細明體"/>
      <family val="2"/>
      <charset val="136"/>
      <scheme val="minor"/>
    </font>
    <font>
      <sz val="12"/>
      <color rgb="FF006100"/>
      <name val="新細明體"/>
      <family val="2"/>
      <charset val="136"/>
      <scheme val="minor"/>
    </font>
    <font>
      <sz val="14"/>
      <color theme="1"/>
      <name val="Calibri"/>
      <family val="2"/>
    </font>
    <font>
      <sz val="12"/>
      <color indexed="8"/>
      <name val="新細明體"/>
      <family val="1"/>
      <charset val="136"/>
    </font>
    <font>
      <sz val="9"/>
      <name val="新細明體"/>
      <family val="1"/>
      <charset val="136"/>
    </font>
    <font>
      <b/>
      <sz val="14"/>
      <color theme="1"/>
      <name val="Calibri"/>
      <family val="2"/>
    </font>
    <font>
      <sz val="11"/>
      <color rgb="FF000000"/>
      <name val="Calibri"/>
      <family val="2"/>
    </font>
    <font>
      <sz val="12"/>
      <color theme="1"/>
      <name val="新細明體"/>
      <family val="1"/>
      <charset val="136"/>
      <scheme val="minor"/>
    </font>
    <font>
      <sz val="12"/>
      <color theme="1"/>
      <name val="Calibri"/>
      <family val="2"/>
    </font>
    <font>
      <sz val="12"/>
      <color indexed="8"/>
      <name val="Calibri"/>
      <family val="2"/>
    </font>
    <font>
      <sz val="12"/>
      <name val="Calibri"/>
      <family val="2"/>
    </font>
    <font>
      <b/>
      <sz val="12"/>
      <color theme="4"/>
      <name val="Calibri"/>
      <family val="2"/>
    </font>
    <font>
      <sz val="12"/>
      <color rgb="FF000000"/>
      <name val="Calibri"/>
      <family val="2"/>
    </font>
    <font>
      <b/>
      <sz val="12"/>
      <color theme="1"/>
      <name val="Calibri"/>
      <family val="2"/>
    </font>
    <font>
      <sz val="14"/>
      <color theme="0"/>
      <name val="Calibri"/>
      <family val="2"/>
    </font>
    <font>
      <u/>
      <sz val="12"/>
      <color theme="10"/>
      <name val="Calibri"/>
      <family val="2"/>
    </font>
    <font>
      <b/>
      <sz val="14"/>
      <color rgb="FFFF0000"/>
      <name val="Calibri"/>
      <family val="2"/>
    </font>
    <font>
      <b/>
      <sz val="14"/>
      <color theme="4"/>
      <name val="Calibri"/>
      <family val="2"/>
    </font>
    <font>
      <b/>
      <sz val="16"/>
      <color rgb="FFFFFFFF"/>
      <name val="Calibri"/>
      <family val="2"/>
    </font>
    <font>
      <b/>
      <sz val="12"/>
      <color rgb="FFFFFFFF"/>
      <name val="Calibri"/>
      <family val="2"/>
    </font>
  </fonts>
  <fills count="9">
    <fill>
      <patternFill patternType="none"/>
    </fill>
    <fill>
      <patternFill patternType="gray125"/>
    </fill>
    <fill>
      <patternFill patternType="solid">
        <fgColor rgb="FFC6EFCE"/>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theme="8" tint="-0.499984740745262"/>
        <bgColor indexed="64"/>
      </patternFill>
    </fill>
    <fill>
      <patternFill patternType="solid">
        <fgColor rgb="FF1F4E78"/>
        <bgColor indexed="64"/>
      </patternFill>
    </fill>
    <fill>
      <patternFill patternType="solid">
        <fgColor rgb="FF5B9BD5"/>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style="thin">
        <color rgb="FF000000"/>
      </top>
      <bottom style="thin">
        <color rgb="FF000000"/>
      </bottom>
      <diagonal/>
    </border>
    <border>
      <left/>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top style="thin">
        <color rgb="FF000000"/>
      </top>
      <bottom style="medium">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style="thin">
        <color rgb="FF000000"/>
      </right>
      <top style="thin">
        <color rgb="FF000000"/>
      </top>
      <bottom style="medium">
        <color indexed="64"/>
      </bottom>
      <diagonal/>
    </border>
    <border>
      <left/>
      <right/>
      <top style="thin">
        <color rgb="FF000000"/>
      </top>
      <bottom style="medium">
        <color indexed="64"/>
      </bottom>
      <diagonal/>
    </border>
    <border>
      <left/>
      <right/>
      <top style="medium">
        <color indexed="64"/>
      </top>
      <bottom style="thin">
        <color indexed="64"/>
      </bottom>
      <diagonal/>
    </border>
    <border>
      <left/>
      <right style="thin">
        <color indexed="64"/>
      </right>
      <top/>
      <bottom style="medium">
        <color indexed="64"/>
      </bottom>
      <diagonal/>
    </border>
    <border>
      <left/>
      <right style="thin">
        <color indexed="64"/>
      </right>
      <top/>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top/>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5">
    <xf numFmtId="0" fontId="0" fillId="0" borderId="0">
      <alignment vertical="center"/>
    </xf>
    <xf numFmtId="0" fontId="2" fillId="0" borderId="0" applyNumberFormat="0" applyFill="0" applyBorder="0" applyAlignment="0" applyProtection="0">
      <alignment vertical="center"/>
    </xf>
    <xf numFmtId="0" fontId="3" fillId="2" borderId="0" applyNumberFormat="0" applyBorder="0" applyAlignment="0" applyProtection="0">
      <alignment vertical="center"/>
    </xf>
    <xf numFmtId="0" fontId="5" fillId="0" borderId="0"/>
    <xf numFmtId="0" fontId="2" fillId="0" borderId="0" applyNumberFormat="0" applyFill="0" applyBorder="0" applyAlignment="0" applyProtection="0">
      <alignment vertical="center"/>
    </xf>
  </cellStyleXfs>
  <cellXfs count="180">
    <xf numFmtId="0" fontId="0" fillId="0" borderId="0" xfId="0">
      <alignment vertical="center"/>
    </xf>
    <xf numFmtId="0" fontId="4" fillId="0" borderId="0" xfId="0" applyFont="1">
      <alignment vertical="center"/>
    </xf>
    <xf numFmtId="0" fontId="9" fillId="0" borderId="17" xfId="0" applyFont="1" applyBorder="1" applyAlignment="1">
      <alignment vertical="center" wrapText="1"/>
    </xf>
    <xf numFmtId="0" fontId="9" fillId="0" borderId="0" xfId="0" applyFont="1" applyAlignment="1">
      <alignment vertical="center" wrapText="1"/>
    </xf>
    <xf numFmtId="0" fontId="9" fillId="0" borderId="0" xfId="0" applyFont="1">
      <alignment vertical="center"/>
    </xf>
    <xf numFmtId="0" fontId="8" fillId="0" borderId="1" xfId="0" applyFont="1" applyBorder="1" applyAlignment="1">
      <alignment vertical="center" wrapText="1"/>
    </xf>
    <xf numFmtId="0" fontId="10" fillId="0" borderId="17" xfId="0" applyFont="1" applyBorder="1" applyAlignment="1">
      <alignment vertical="center" wrapText="1"/>
    </xf>
    <xf numFmtId="0" fontId="10" fillId="0" borderId="4" xfId="3" applyFont="1" applyBorder="1" applyAlignment="1">
      <alignment vertical="center"/>
    </xf>
    <xf numFmtId="0" fontId="10" fillId="0" borderId="4" xfId="0" applyFont="1" applyBorder="1" applyAlignment="1">
      <alignment vertical="center" wrapText="1"/>
    </xf>
    <xf numFmtId="0" fontId="11" fillId="0" borderId="21" xfId="3" applyFont="1" applyBorder="1" applyAlignment="1">
      <alignment vertical="center" wrapText="1"/>
    </xf>
    <xf numFmtId="0" fontId="12" fillId="0" borderId="4" xfId="0" applyFont="1" applyBorder="1" applyAlignment="1">
      <alignment vertical="center" wrapText="1"/>
    </xf>
    <xf numFmtId="0" fontId="10" fillId="0" borderId="0" xfId="0" applyFont="1" applyAlignment="1">
      <alignment vertical="center" wrapText="1"/>
    </xf>
    <xf numFmtId="0" fontId="10" fillId="3" borderId="15" xfId="0" applyFont="1" applyFill="1" applyBorder="1" applyAlignment="1">
      <alignment vertical="center" wrapText="1"/>
    </xf>
    <xf numFmtId="0" fontId="10" fillId="3" borderId="20" xfId="0" applyFont="1" applyFill="1" applyBorder="1" applyAlignment="1">
      <alignment vertical="center" wrapText="1"/>
    </xf>
    <xf numFmtId="0" fontId="10" fillId="3" borderId="22" xfId="0" applyFont="1" applyFill="1" applyBorder="1" applyAlignment="1">
      <alignment vertical="center" wrapText="1"/>
    </xf>
    <xf numFmtId="0" fontId="10" fillId="0" borderId="4" xfId="3" applyFont="1" applyBorder="1" applyAlignment="1">
      <alignment vertical="center" wrapText="1"/>
    </xf>
    <xf numFmtId="0" fontId="10" fillId="0" borderId="1" xfId="0" applyFont="1" applyBorder="1" applyAlignment="1">
      <alignment vertical="center" wrapText="1"/>
    </xf>
    <xf numFmtId="176" fontId="10" fillId="0" borderId="1" xfId="0" applyNumberFormat="1" applyFont="1" applyBorder="1" applyAlignment="1">
      <alignment vertical="center" wrapText="1"/>
    </xf>
    <xf numFmtId="0" fontId="12" fillId="0" borderId="1" xfId="0" applyFont="1" applyBorder="1" applyAlignment="1">
      <alignment vertical="center" wrapText="1"/>
    </xf>
    <xf numFmtId="0" fontId="10" fillId="0" borderId="1" xfId="3" applyFont="1" applyBorder="1" applyAlignment="1">
      <alignment vertical="center" wrapText="1"/>
    </xf>
    <xf numFmtId="0" fontId="11" fillId="0" borderId="1" xfId="3" applyFont="1" applyBorder="1" applyAlignment="1">
      <alignment vertical="center" wrapText="1"/>
    </xf>
    <xf numFmtId="0" fontId="10" fillId="0" borderId="3" xfId="0" applyFont="1" applyBorder="1" applyAlignment="1">
      <alignment vertical="center" wrapText="1"/>
    </xf>
    <xf numFmtId="0" fontId="12" fillId="0" borderId="3" xfId="0" applyFont="1" applyBorder="1" applyAlignment="1">
      <alignment vertical="center" wrapText="1"/>
    </xf>
    <xf numFmtId="0" fontId="11" fillId="0" borderId="3" xfId="3" applyFont="1" applyBorder="1" applyAlignment="1">
      <alignment vertical="center" wrapText="1"/>
    </xf>
    <xf numFmtId="0" fontId="10" fillId="0" borderId="2" xfId="0" applyFont="1" applyBorder="1" applyAlignment="1">
      <alignment vertical="center" wrapText="1"/>
    </xf>
    <xf numFmtId="0" fontId="10" fillId="0" borderId="10" xfId="3" applyFont="1" applyBorder="1" applyAlignment="1">
      <alignment vertical="center"/>
    </xf>
    <xf numFmtId="0" fontId="10" fillId="0" borderId="5" xfId="3" applyFont="1" applyBorder="1" applyAlignment="1">
      <alignment vertical="center" wrapText="1"/>
    </xf>
    <xf numFmtId="0" fontId="10" fillId="5" borderId="1" xfId="3" applyFont="1" applyFill="1" applyBorder="1" applyAlignment="1">
      <alignment vertical="center"/>
    </xf>
    <xf numFmtId="0" fontId="13" fillId="0" borderId="1" xfId="3" applyFont="1" applyBorder="1" applyAlignment="1">
      <alignment vertical="center"/>
    </xf>
    <xf numFmtId="0" fontId="10" fillId="0" borderId="1" xfId="3" applyFont="1" applyBorder="1" applyAlignment="1">
      <alignment vertical="center"/>
    </xf>
    <xf numFmtId="0" fontId="10" fillId="0" borderId="12" xfId="3" applyFont="1" applyBorder="1" applyAlignment="1">
      <alignment vertical="center"/>
    </xf>
    <xf numFmtId="0" fontId="10" fillId="0" borderId="9" xfId="3" applyFont="1" applyBorder="1" applyAlignment="1">
      <alignment vertical="center" wrapText="1"/>
    </xf>
    <xf numFmtId="0" fontId="10" fillId="0" borderId="7" xfId="3" applyFont="1" applyBorder="1" applyAlignment="1">
      <alignment vertical="center"/>
    </xf>
    <xf numFmtId="0" fontId="13" fillId="0" borderId="7" xfId="3" applyFont="1" applyBorder="1" applyAlignment="1">
      <alignment vertical="center"/>
    </xf>
    <xf numFmtId="0" fontId="10" fillId="0" borderId="7" xfId="3" applyFont="1" applyBorder="1" applyAlignment="1">
      <alignment vertical="center" wrapText="1"/>
    </xf>
    <xf numFmtId="0" fontId="10" fillId="5" borderId="7" xfId="3" applyFont="1" applyFill="1" applyBorder="1" applyAlignment="1">
      <alignment vertical="center"/>
    </xf>
    <xf numFmtId="0" fontId="10" fillId="0" borderId="9" xfId="3" applyFont="1" applyBorder="1" applyAlignment="1">
      <alignment vertical="center"/>
    </xf>
    <xf numFmtId="0" fontId="10" fillId="0" borderId="13" xfId="3" applyFont="1" applyBorder="1" applyAlignment="1">
      <alignment vertical="center"/>
    </xf>
    <xf numFmtId="0" fontId="10" fillId="0" borderId="27" xfId="3" applyFont="1" applyBorder="1" applyAlignment="1">
      <alignment vertical="center" wrapText="1"/>
    </xf>
    <xf numFmtId="0" fontId="10" fillId="0" borderId="16" xfId="3" applyFont="1" applyBorder="1" applyAlignment="1">
      <alignment vertical="center" wrapText="1"/>
    </xf>
    <xf numFmtId="0" fontId="10" fillId="0" borderId="15" xfId="3" applyFont="1" applyBorder="1" applyAlignment="1">
      <alignment vertical="center"/>
    </xf>
    <xf numFmtId="0" fontId="10" fillId="0" borderId="11" xfId="3" applyFont="1" applyBorder="1" applyAlignment="1">
      <alignment vertical="center" wrapText="1"/>
    </xf>
    <xf numFmtId="0" fontId="10" fillId="0" borderId="15" xfId="3" applyFont="1" applyBorder="1" applyAlignment="1">
      <alignment vertical="center" wrapText="1"/>
    </xf>
    <xf numFmtId="0" fontId="10" fillId="0" borderId="0" xfId="3" applyFont="1" applyAlignment="1">
      <alignment vertical="center"/>
    </xf>
    <xf numFmtId="0" fontId="10" fillId="0" borderId="0" xfId="3" applyFont="1" applyAlignment="1">
      <alignment vertical="center" wrapText="1"/>
    </xf>
    <xf numFmtId="0" fontId="10" fillId="0" borderId="11" xfId="3" applyFont="1" applyBorder="1" applyAlignment="1">
      <alignment vertical="center"/>
    </xf>
    <xf numFmtId="0" fontId="10" fillId="0" borderId="13" xfId="3" applyFont="1" applyBorder="1" applyAlignment="1">
      <alignment vertical="center" wrapText="1"/>
    </xf>
    <xf numFmtId="0" fontId="10" fillId="0" borderId="14" xfId="3" applyFont="1" applyBorder="1" applyAlignment="1">
      <alignment vertical="center"/>
    </xf>
    <xf numFmtId="0" fontId="10" fillId="0" borderId="0" xfId="0" applyFont="1">
      <alignment vertical="center"/>
    </xf>
    <xf numFmtId="0" fontId="10" fillId="0" borderId="15" xfId="0" applyFont="1" applyBorder="1">
      <alignment vertical="center"/>
    </xf>
    <xf numFmtId="0" fontId="10" fillId="0" borderId="4" xfId="0" applyFont="1" applyBorder="1">
      <alignment vertical="center"/>
    </xf>
    <xf numFmtId="177" fontId="10" fillId="0" borderId="1" xfId="0" applyNumberFormat="1" applyFont="1" applyBorder="1" applyAlignment="1">
      <alignment horizontal="left" vertical="center" wrapText="1"/>
    </xf>
    <xf numFmtId="49" fontId="12" fillId="0" borderId="1" xfId="0" applyNumberFormat="1" applyFont="1" applyBorder="1" applyAlignment="1">
      <alignment vertical="center" wrapText="1"/>
    </xf>
    <xf numFmtId="176" fontId="12" fillId="0" borderId="1" xfId="0" applyNumberFormat="1" applyFont="1" applyBorder="1" applyAlignment="1">
      <alignment vertical="center" wrapText="1"/>
    </xf>
    <xf numFmtId="49" fontId="14" fillId="0" borderId="1" xfId="0" applyNumberFormat="1" applyFont="1" applyBorder="1" applyAlignment="1">
      <alignment vertical="center" wrapText="1"/>
    </xf>
    <xf numFmtId="176" fontId="10" fillId="3" borderId="1" xfId="0" applyNumberFormat="1" applyFont="1" applyFill="1" applyBorder="1" applyAlignment="1">
      <alignment vertical="center" wrapText="1"/>
    </xf>
    <xf numFmtId="0" fontId="10" fillId="3" borderId="1" xfId="0" applyFont="1" applyFill="1" applyBorder="1" applyAlignment="1">
      <alignment vertical="center" wrapText="1"/>
    </xf>
    <xf numFmtId="0" fontId="10" fillId="0" borderId="1" xfId="0" applyFont="1" applyBorder="1">
      <alignment vertical="center"/>
    </xf>
    <xf numFmtId="0" fontId="10" fillId="0" borderId="11" xfId="0" applyFont="1" applyBorder="1">
      <alignment vertical="center"/>
    </xf>
    <xf numFmtId="0" fontId="10" fillId="3" borderId="14" xfId="0" applyFont="1" applyFill="1" applyBorder="1" applyAlignment="1">
      <alignment vertical="center" wrapText="1"/>
    </xf>
    <xf numFmtId="0" fontId="0" fillId="0" borderId="0" xfId="0" applyAlignment="1">
      <alignment horizontal="left" vertical="center"/>
    </xf>
    <xf numFmtId="49" fontId="10" fillId="0" borderId="4" xfId="3" applyNumberFormat="1" applyFont="1" applyBorder="1" applyAlignment="1">
      <alignment horizontal="right" vertical="center" wrapText="1"/>
    </xf>
    <xf numFmtId="0" fontId="10" fillId="0" borderId="4" xfId="3" applyFont="1" applyBorder="1" applyAlignment="1">
      <alignment horizontal="right" vertical="center" wrapText="1"/>
    </xf>
    <xf numFmtId="0" fontId="10" fillId="0" borderId="11" xfId="3" applyFont="1" applyBorder="1" applyAlignment="1">
      <alignment horizontal="right" vertical="center" wrapText="1"/>
    </xf>
    <xf numFmtId="0" fontId="10" fillId="0" borderId="13" xfId="0" applyFont="1" applyBorder="1" applyAlignment="1">
      <alignment vertical="center" wrapText="1"/>
    </xf>
    <xf numFmtId="49" fontId="10" fillId="0" borderId="15" xfId="3" applyNumberFormat="1" applyFont="1" applyBorder="1" applyAlignment="1">
      <alignment horizontal="right" vertical="center" wrapText="1"/>
    </xf>
    <xf numFmtId="0" fontId="10" fillId="0" borderId="15" xfId="0" applyFont="1" applyBorder="1" applyAlignment="1">
      <alignment vertical="center" wrapText="1"/>
    </xf>
    <xf numFmtId="0" fontId="10" fillId="0" borderId="12" xfId="3" applyFont="1" applyBorder="1" applyAlignment="1">
      <alignment wrapText="1"/>
    </xf>
    <xf numFmtId="0" fontId="10" fillId="0" borderId="10" xfId="3" applyFont="1" applyBorder="1" applyAlignment="1">
      <alignment vertical="center" wrapText="1"/>
    </xf>
    <xf numFmtId="0" fontId="10" fillId="0" borderId="18" xfId="3" applyFont="1" applyBorder="1" applyAlignment="1">
      <alignment vertical="center" wrapText="1"/>
    </xf>
    <xf numFmtId="20" fontId="10" fillId="0" borderId="18" xfId="3" applyNumberFormat="1" applyFont="1" applyBorder="1" applyAlignment="1">
      <alignment vertical="center" wrapText="1"/>
    </xf>
    <xf numFmtId="0" fontId="10" fillId="0" borderId="28" xfId="3" applyFont="1" applyBorder="1" applyAlignment="1">
      <alignment vertical="center" wrapText="1"/>
    </xf>
    <xf numFmtId="0" fontId="10" fillId="0" borderId="19" xfId="3" applyFont="1" applyBorder="1" applyAlignment="1">
      <alignment vertical="center" wrapText="1"/>
    </xf>
    <xf numFmtId="0" fontId="13" fillId="0" borderId="9" xfId="3" applyFont="1" applyBorder="1" applyAlignment="1">
      <alignment vertical="center"/>
    </xf>
    <xf numFmtId="0" fontId="10" fillId="0" borderId="26" xfId="3" applyFont="1" applyBorder="1" applyAlignment="1">
      <alignment vertical="center"/>
    </xf>
    <xf numFmtId="0" fontId="10" fillId="0" borderId="24" xfId="3" applyFont="1" applyBorder="1" applyAlignment="1">
      <alignment vertical="center"/>
    </xf>
    <xf numFmtId="0" fontId="10" fillId="0" borderId="12" xfId="3" applyFont="1" applyBorder="1" applyAlignment="1">
      <alignment vertical="center" wrapText="1"/>
    </xf>
    <xf numFmtId="0" fontId="10" fillId="0" borderId="7" xfId="3" applyFont="1" applyBorder="1" applyAlignment="1">
      <alignment wrapText="1"/>
    </xf>
    <xf numFmtId="0" fontId="10" fillId="0" borderId="29" xfId="3" applyFont="1" applyBorder="1" applyAlignment="1">
      <alignment vertical="center" wrapText="1"/>
    </xf>
    <xf numFmtId="0" fontId="10" fillId="0" borderId="6" xfId="3" applyFont="1" applyBorder="1" applyAlignment="1">
      <alignment vertical="center"/>
    </xf>
    <xf numFmtId="0" fontId="10" fillId="0" borderId="17" xfId="3" applyFont="1" applyBorder="1" applyAlignment="1">
      <alignment vertical="center"/>
    </xf>
    <xf numFmtId="0" fontId="10" fillId="0" borderId="23" xfId="3" applyFont="1" applyBorder="1" applyAlignment="1">
      <alignment vertical="center"/>
    </xf>
    <xf numFmtId="0" fontId="10" fillId="0" borderId="30" xfId="3" applyFont="1" applyBorder="1" applyAlignment="1">
      <alignment vertical="center"/>
    </xf>
    <xf numFmtId="0" fontId="10" fillId="0" borderId="16" xfId="3" applyFont="1" applyBorder="1" applyAlignment="1">
      <alignment vertical="center"/>
    </xf>
    <xf numFmtId="0" fontId="10" fillId="0" borderId="6" xfId="3" applyFont="1" applyBorder="1" applyAlignment="1">
      <alignment vertical="center" wrapText="1"/>
    </xf>
    <xf numFmtId="0" fontId="10" fillId="0" borderId="17" xfId="3" applyFont="1" applyBorder="1" applyAlignment="1">
      <alignment vertical="center" wrapText="1"/>
    </xf>
    <xf numFmtId="0" fontId="10" fillId="0" borderId="23" xfId="3" applyFont="1" applyBorder="1" applyAlignment="1">
      <alignment vertical="center" wrapText="1"/>
    </xf>
    <xf numFmtId="0" fontId="10" fillId="0" borderId="25" xfId="3" applyFont="1" applyBorder="1" applyAlignment="1">
      <alignment vertical="center" wrapText="1"/>
    </xf>
    <xf numFmtId="0" fontId="10" fillId="0" borderId="24" xfId="3" applyFont="1" applyBorder="1" applyAlignment="1">
      <alignment vertical="center" wrapText="1"/>
    </xf>
    <xf numFmtId="0" fontId="10" fillId="0" borderId="8" xfId="3" applyFont="1" applyBorder="1" applyAlignment="1">
      <alignment vertical="center" wrapText="1"/>
    </xf>
    <xf numFmtId="49" fontId="10" fillId="0" borderId="11" xfId="3" applyNumberFormat="1" applyFont="1" applyBorder="1" applyAlignment="1">
      <alignment horizontal="right" vertical="center" wrapText="1"/>
    </xf>
    <xf numFmtId="0" fontId="10" fillId="0" borderId="11" xfId="0" applyFont="1" applyBorder="1" applyAlignment="1">
      <alignment vertical="center" wrapText="1"/>
    </xf>
    <xf numFmtId="0" fontId="10" fillId="0" borderId="31" xfId="3" applyFont="1" applyBorder="1" applyAlignment="1">
      <alignment vertical="center" wrapText="1"/>
    </xf>
    <xf numFmtId="0" fontId="10" fillId="0" borderId="13" xfId="3" applyFont="1" applyBorder="1" applyAlignment="1">
      <alignment horizontal="right" vertical="center" wrapText="1"/>
    </xf>
    <xf numFmtId="49" fontId="10" fillId="0" borderId="1" xfId="3" applyNumberFormat="1" applyFont="1" applyBorder="1" applyAlignment="1">
      <alignment horizontal="right" vertical="center" wrapText="1"/>
    </xf>
    <xf numFmtId="49" fontId="10" fillId="0" borderId="13" xfId="3" applyNumberFormat="1" applyFont="1" applyBorder="1" applyAlignment="1">
      <alignment horizontal="right" vertical="center" wrapText="1"/>
    </xf>
    <xf numFmtId="0" fontId="10" fillId="0" borderId="32" xfId="3" applyFont="1" applyBorder="1" applyAlignment="1">
      <alignment vertical="center"/>
    </xf>
    <xf numFmtId="0" fontId="10" fillId="0" borderId="32" xfId="3" applyFont="1" applyBorder="1" applyAlignment="1">
      <alignment vertical="center" wrapText="1"/>
    </xf>
    <xf numFmtId="0" fontId="10" fillId="0" borderId="1" xfId="3" applyFont="1" applyBorder="1" applyAlignment="1">
      <alignment horizontal="right" vertical="center" wrapText="1"/>
    </xf>
    <xf numFmtId="0" fontId="10" fillId="0" borderId="13" xfId="0" applyFont="1" applyBorder="1">
      <alignment vertical="center"/>
    </xf>
    <xf numFmtId="49" fontId="10" fillId="0" borderId="21" xfId="3" applyNumberFormat="1" applyFont="1" applyBorder="1" applyAlignment="1">
      <alignment horizontal="right" vertical="center" wrapText="1"/>
    </xf>
    <xf numFmtId="0" fontId="10" fillId="0" borderId="21" xfId="0" applyFont="1" applyBorder="1" applyAlignment="1">
      <alignment vertical="center" wrapText="1"/>
    </xf>
    <xf numFmtId="0" fontId="10" fillId="0" borderId="33" xfId="3" applyFont="1" applyBorder="1" applyAlignment="1">
      <alignment vertical="center" wrapText="1"/>
    </xf>
    <xf numFmtId="0" fontId="10" fillId="0" borderId="15" xfId="3" applyFont="1" applyBorder="1" applyAlignment="1">
      <alignment horizontal="left" vertical="center"/>
    </xf>
    <xf numFmtId="0" fontId="10" fillId="0" borderId="15" xfId="3" applyFont="1" applyBorder="1" applyAlignment="1">
      <alignment horizontal="left" vertical="center" wrapText="1"/>
    </xf>
    <xf numFmtId="49" fontId="10" fillId="0" borderId="1" xfId="0" applyNumberFormat="1" applyFont="1" applyBorder="1" applyAlignment="1">
      <alignment horizontal="right" vertical="center"/>
    </xf>
    <xf numFmtId="49" fontId="10" fillId="0" borderId="13" xfId="0" applyNumberFormat="1" applyFont="1" applyBorder="1" applyAlignment="1">
      <alignment horizontal="right" vertical="center"/>
    </xf>
    <xf numFmtId="49" fontId="10" fillId="0" borderId="4" xfId="0" applyNumberFormat="1" applyFont="1" applyBorder="1" applyAlignment="1">
      <alignment horizontal="right" vertical="center"/>
    </xf>
    <xf numFmtId="0" fontId="10" fillId="0" borderId="3" xfId="0" applyFont="1" applyBorder="1">
      <alignment vertical="center"/>
    </xf>
    <xf numFmtId="0" fontId="8" fillId="0" borderId="13" xfId="0" applyFont="1" applyBorder="1" applyAlignment="1">
      <alignment vertical="center" wrapText="1"/>
    </xf>
    <xf numFmtId="0" fontId="16" fillId="6" borderId="13" xfId="2" applyFont="1" applyFill="1" applyBorder="1" applyAlignment="1">
      <alignment vertical="center" wrapText="1"/>
    </xf>
    <xf numFmtId="0" fontId="10" fillId="0" borderId="11" xfId="0" applyFont="1" applyBorder="1" applyAlignment="1">
      <alignment horizontal="right" vertical="center"/>
    </xf>
    <xf numFmtId="49" fontId="10" fillId="0" borderId="4" xfId="0" applyNumberFormat="1" applyFont="1" applyBorder="1" applyAlignment="1">
      <alignment horizontal="right" vertical="center" wrapText="1"/>
    </xf>
    <xf numFmtId="0" fontId="10" fillId="3" borderId="15" xfId="0" applyFont="1" applyFill="1" applyBorder="1" applyAlignment="1">
      <alignment horizontal="right" vertical="center" wrapText="1"/>
    </xf>
    <xf numFmtId="0" fontId="10" fillId="0" borderId="4" xfId="0" applyFont="1" applyBorder="1" applyAlignment="1">
      <alignment horizontal="right" vertical="center" wrapText="1"/>
    </xf>
    <xf numFmtId="49" fontId="10" fillId="0" borderId="3" xfId="3" applyNumberFormat="1" applyFont="1" applyBorder="1" applyAlignment="1">
      <alignment horizontal="right" vertical="center" wrapText="1"/>
    </xf>
    <xf numFmtId="0" fontId="10" fillId="0" borderId="3" xfId="0" applyFont="1" applyBorder="1" applyAlignment="1">
      <alignment horizontal="right" vertical="center"/>
    </xf>
    <xf numFmtId="0" fontId="10" fillId="0" borderId="1" xfId="0" applyFont="1" applyBorder="1" applyAlignment="1">
      <alignment horizontal="right" vertical="center"/>
    </xf>
    <xf numFmtId="0" fontId="10" fillId="0" borderId="2" xfId="0" applyFont="1" applyBorder="1" applyAlignment="1">
      <alignment horizontal="right" vertical="center"/>
    </xf>
    <xf numFmtId="0" fontId="10" fillId="0" borderId="13" xfId="0" applyFont="1" applyBorder="1" applyAlignment="1">
      <alignment horizontal="right" vertical="center"/>
    </xf>
    <xf numFmtId="0" fontId="10" fillId="3" borderId="20" xfId="0" applyFont="1" applyFill="1" applyBorder="1" applyAlignment="1">
      <alignment horizontal="right" vertical="center" wrapText="1"/>
    </xf>
    <xf numFmtId="49" fontId="12" fillId="0" borderId="1" xfId="0" applyNumberFormat="1" applyFont="1" applyBorder="1" applyAlignment="1">
      <alignment horizontal="right" vertical="center" wrapText="1"/>
    </xf>
    <xf numFmtId="0" fontId="15" fillId="0" borderId="1" xfId="0" applyFont="1" applyBorder="1">
      <alignment vertical="center"/>
    </xf>
    <xf numFmtId="178" fontId="15" fillId="0" borderId="1" xfId="0" applyNumberFormat="1" applyFont="1" applyBorder="1">
      <alignment vertical="center"/>
    </xf>
    <xf numFmtId="0" fontId="15" fillId="3" borderId="1" xfId="0" applyFont="1" applyFill="1" applyBorder="1">
      <alignment vertical="center"/>
    </xf>
    <xf numFmtId="0" fontId="17" fillId="0" borderId="1" xfId="4" applyFont="1" applyBorder="1">
      <alignment vertical="center"/>
    </xf>
    <xf numFmtId="0" fontId="17" fillId="0" borderId="3" xfId="4" applyFont="1" applyBorder="1">
      <alignment vertical="center"/>
    </xf>
    <xf numFmtId="0" fontId="10" fillId="0" borderId="34" xfId="0" applyFont="1" applyBorder="1">
      <alignment vertical="center"/>
    </xf>
    <xf numFmtId="0" fontId="10" fillId="0" borderId="34" xfId="0" applyFont="1" applyBorder="1" applyAlignment="1">
      <alignment vertical="center" wrapText="1"/>
    </xf>
    <xf numFmtId="0" fontId="8" fillId="0" borderId="34" xfId="0" applyFont="1" applyBorder="1" applyAlignment="1">
      <alignment vertical="center" wrapText="1"/>
    </xf>
    <xf numFmtId="0" fontId="10" fillId="0" borderId="35" xfId="0" applyFont="1" applyBorder="1">
      <alignment vertical="center"/>
    </xf>
    <xf numFmtId="0" fontId="10" fillId="0" borderId="35" xfId="0" applyFont="1" applyBorder="1" applyAlignment="1">
      <alignment vertical="center" wrapText="1"/>
    </xf>
    <xf numFmtId="0" fontId="8" fillId="0" borderId="35" xfId="0" applyFont="1" applyBorder="1" applyAlignment="1">
      <alignment vertical="center" wrapText="1"/>
    </xf>
    <xf numFmtId="0" fontId="10" fillId="0" borderId="26" xfId="0" applyFont="1" applyBorder="1">
      <alignment vertical="center"/>
    </xf>
    <xf numFmtId="0" fontId="10" fillId="0" borderId="26" xfId="0" applyFont="1" applyBorder="1" applyAlignment="1">
      <alignment vertical="center" wrapText="1"/>
    </xf>
    <xf numFmtId="0" fontId="8" fillId="0" borderId="26" xfId="0" applyFont="1" applyBorder="1" applyAlignment="1">
      <alignment vertical="center" wrapText="1"/>
    </xf>
    <xf numFmtId="177" fontId="4" fillId="0" borderId="0" xfId="0" applyNumberFormat="1" applyFont="1">
      <alignment vertical="center"/>
    </xf>
    <xf numFmtId="0" fontId="10" fillId="0" borderId="4" xfId="0" applyFont="1" applyBorder="1" applyAlignment="1">
      <alignment horizontal="right" vertical="center"/>
    </xf>
    <xf numFmtId="0" fontId="12" fillId="0" borderId="15" xfId="2" applyFont="1" applyFill="1" applyBorder="1" applyAlignment="1">
      <alignment vertical="center" wrapText="1"/>
    </xf>
    <xf numFmtId="0" fontId="17" fillId="0" borderId="15" xfId="4" applyFont="1" applyBorder="1" applyAlignment="1">
      <alignment vertical="center" wrapText="1"/>
    </xf>
    <xf numFmtId="176" fontId="10" fillId="0" borderId="1" xfId="0" applyNumberFormat="1" applyFont="1" applyBorder="1" applyAlignment="1">
      <alignment horizontal="right" vertical="center" wrapText="1"/>
    </xf>
    <xf numFmtId="176" fontId="10" fillId="0" borderId="3" xfId="0" applyNumberFormat="1" applyFont="1" applyBorder="1" applyAlignment="1">
      <alignment horizontal="right" vertical="center" wrapText="1"/>
    </xf>
    <xf numFmtId="176" fontId="10" fillId="0" borderId="15" xfId="0" applyNumberFormat="1" applyFont="1" applyBorder="1" applyAlignment="1">
      <alignment horizontal="right" vertical="center" wrapText="1"/>
    </xf>
    <xf numFmtId="176" fontId="10" fillId="0" borderId="4" xfId="0" applyNumberFormat="1" applyFont="1" applyBorder="1" applyAlignment="1">
      <alignment horizontal="right" vertical="center" wrapText="1"/>
    </xf>
    <xf numFmtId="0" fontId="10" fillId="0" borderId="15" xfId="0" applyFont="1" applyBorder="1" applyAlignment="1">
      <alignment horizontal="right" vertical="center"/>
    </xf>
    <xf numFmtId="0" fontId="10" fillId="0" borderId="36" xfId="0" applyFont="1" applyBorder="1" applyAlignment="1">
      <alignment horizontal="right" vertical="center"/>
    </xf>
    <xf numFmtId="0" fontId="10" fillId="0" borderId="37" xfId="3" applyFont="1" applyBorder="1" applyAlignment="1">
      <alignment vertical="center"/>
    </xf>
    <xf numFmtId="0" fontId="10" fillId="0" borderId="27" xfId="3" applyFont="1" applyBorder="1" applyAlignment="1">
      <alignment vertical="center"/>
    </xf>
    <xf numFmtId="0" fontId="10" fillId="0" borderId="36" xfId="0" applyFont="1" applyBorder="1">
      <alignment vertical="center"/>
    </xf>
    <xf numFmtId="0" fontId="10" fillId="0" borderId="36" xfId="3" applyFont="1" applyBorder="1" applyAlignment="1">
      <alignment vertical="center" wrapText="1"/>
    </xf>
    <xf numFmtId="0" fontId="12" fillId="0" borderId="38" xfId="0" applyFont="1" applyBorder="1" applyAlignment="1">
      <alignment vertical="center" wrapText="1"/>
    </xf>
    <xf numFmtId="0" fontId="13" fillId="0" borderId="4" xfId="3" applyFont="1" applyBorder="1" applyAlignment="1">
      <alignment vertical="center"/>
    </xf>
    <xf numFmtId="0" fontId="18" fillId="0" borderId="1" xfId="0" applyFont="1" applyBorder="1">
      <alignment vertical="center"/>
    </xf>
    <xf numFmtId="0" fontId="13" fillId="0" borderId="13" xfId="3" applyFont="1" applyBorder="1" applyAlignment="1">
      <alignment vertical="center"/>
    </xf>
    <xf numFmtId="0" fontId="13" fillId="0" borderId="1" xfId="0" applyFont="1" applyBorder="1" applyAlignment="1">
      <alignment vertical="center" wrapText="1"/>
    </xf>
    <xf numFmtId="0" fontId="13" fillId="0" borderId="15" xfId="2" applyFont="1" applyFill="1" applyBorder="1" applyAlignment="1">
      <alignment vertical="center" wrapText="1"/>
    </xf>
    <xf numFmtId="49" fontId="10" fillId="0" borderId="15" xfId="0" applyNumberFormat="1" applyFont="1" applyBorder="1" applyAlignment="1">
      <alignment horizontal="right" vertical="center" wrapText="1"/>
    </xf>
    <xf numFmtId="0" fontId="12" fillId="0" borderId="14" xfId="3" applyFont="1" applyBorder="1" applyAlignment="1">
      <alignment vertical="center"/>
    </xf>
    <xf numFmtId="49" fontId="12" fillId="0" borderId="15" xfId="3" applyNumberFormat="1" applyFont="1" applyBorder="1" applyAlignment="1">
      <alignment vertical="center"/>
    </xf>
    <xf numFmtId="0" fontId="11" fillId="0" borderId="15" xfId="3" applyFont="1" applyBorder="1" applyAlignment="1">
      <alignment vertical="center" wrapText="1"/>
    </xf>
    <xf numFmtId="0" fontId="12" fillId="0" borderId="1" xfId="3" applyFont="1" applyBorder="1" applyAlignment="1">
      <alignment vertical="center"/>
    </xf>
    <xf numFmtId="0" fontId="21" fillId="8" borderId="41" xfId="0" applyFont="1" applyFill="1" applyBorder="1" applyAlignment="1">
      <alignment horizontal="center" vertical="center"/>
    </xf>
    <xf numFmtId="0" fontId="13" fillId="0" borderId="0" xfId="3" applyFont="1" applyAlignment="1">
      <alignment vertical="center"/>
    </xf>
    <xf numFmtId="0" fontId="13" fillId="0" borderId="32" xfId="3" applyFont="1" applyBorder="1" applyAlignment="1">
      <alignment vertical="center"/>
    </xf>
    <xf numFmtId="0" fontId="12" fillId="0" borderId="13" xfId="3" applyFont="1" applyBorder="1" applyAlignment="1">
      <alignment vertical="center"/>
    </xf>
    <xf numFmtId="0" fontId="13" fillId="0" borderId="15" xfId="3" applyFont="1" applyBorder="1" applyAlignment="1">
      <alignment vertical="center"/>
    </xf>
    <xf numFmtId="0" fontId="10" fillId="0" borderId="41" xfId="0" applyFont="1" applyBorder="1" applyAlignment="1">
      <alignment horizontal="center" vertical="center" wrapText="1"/>
    </xf>
    <xf numFmtId="0" fontId="10" fillId="0" borderId="41" xfId="0" applyFont="1" applyBorder="1" applyAlignment="1">
      <alignment horizontal="left" vertical="center" wrapText="1"/>
    </xf>
    <xf numFmtId="0" fontId="10" fillId="0" borderId="41" xfId="0" applyFont="1" applyBorder="1" applyAlignment="1">
      <alignment horizontal="left" vertical="top" wrapText="1"/>
    </xf>
    <xf numFmtId="0" fontId="10" fillId="0" borderId="41" xfId="0" applyFont="1" applyBorder="1" applyAlignment="1">
      <alignment horizontal="center" vertical="top" wrapText="1"/>
    </xf>
    <xf numFmtId="0" fontId="7" fillId="4" borderId="1" xfId="0" applyFont="1" applyFill="1" applyBorder="1" applyAlignment="1">
      <alignment horizontal="left" vertical="center"/>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20" fillId="7" borderId="40" xfId="0" applyFont="1" applyFill="1" applyBorder="1" applyAlignment="1">
      <alignment horizontal="center" vertical="center"/>
    </xf>
    <xf numFmtId="0" fontId="20" fillId="7" borderId="39" xfId="0" applyFont="1" applyFill="1" applyBorder="1" applyAlignment="1">
      <alignment horizontal="center" vertical="center"/>
    </xf>
    <xf numFmtId="0" fontId="20" fillId="7" borderId="42" xfId="0" applyFont="1" applyFill="1" applyBorder="1" applyAlignment="1">
      <alignment horizontal="center" vertical="center"/>
    </xf>
    <xf numFmtId="0" fontId="10" fillId="0" borderId="1" xfId="0" applyNumberFormat="1" applyFont="1" applyBorder="1" applyAlignment="1">
      <alignment horizontal="right" vertical="center"/>
    </xf>
    <xf numFmtId="0" fontId="10" fillId="0" borderId="13" xfId="0" applyNumberFormat="1" applyFont="1" applyBorder="1" applyAlignment="1">
      <alignment horizontal="right" vertical="center"/>
    </xf>
    <xf numFmtId="0" fontId="10" fillId="0" borderId="4" xfId="0" applyNumberFormat="1" applyFont="1" applyBorder="1" applyAlignment="1">
      <alignment horizontal="right" vertical="center"/>
    </xf>
  </cellXfs>
  <cellStyles count="5">
    <cellStyle name="Hyperlink" xfId="1" xr:uid="{00000000-000B-0000-0000-000008000000}"/>
    <cellStyle name="一般" xfId="0" builtinId="0"/>
    <cellStyle name="一般 2" xfId="3" xr:uid="{13772882-4B88-4CDA-A30D-ACC051A08DA9}"/>
    <cellStyle name="好" xfId="2" builtinId="26"/>
    <cellStyle name="超連結" xfId="4" builtinId="8"/>
  </cellStyles>
  <dxfs count="5">
    <dxf>
      <font>
        <strike val="0"/>
        <outline val="0"/>
        <shadow val="0"/>
        <u val="none"/>
        <vertAlign val="baseline"/>
        <sz val="12"/>
        <color theme="1"/>
        <name val="Calibri"/>
        <family val="2"/>
      </font>
      <alignment horizontal="left" vertical="center" textRotation="0" wrapText="1" indent="0" justifyLastLine="0" shrinkToFit="0" readingOrder="0"/>
      <border diagonalUp="0" diagonalDown="0" outline="0">
        <left style="thin">
          <color rgb="FFBFBFBF"/>
        </left>
        <right/>
        <top style="thin">
          <color rgb="FFBFBFBF"/>
        </top>
        <bottom style="thin">
          <color rgb="FFBFBFBF"/>
        </bottom>
      </border>
    </dxf>
    <dxf>
      <font>
        <strike val="0"/>
        <outline val="0"/>
        <shadow val="0"/>
        <u val="none"/>
        <vertAlign val="baseline"/>
        <sz val="12"/>
        <color theme="1"/>
        <name val="Calibri"/>
        <family val="2"/>
      </font>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strike val="0"/>
        <outline val="0"/>
        <shadow val="0"/>
        <u val="none"/>
        <vertAlign val="baseline"/>
        <sz val="12"/>
        <color theme="1"/>
        <name val="Calibri"/>
        <family val="2"/>
      </font>
      <alignment horizontal="center" vertical="center" textRotation="0" wrapText="1" indent="0" justifyLastLine="0" shrinkToFit="0" readingOrder="0"/>
      <border diagonalUp="0" diagonalDown="0" outline="0">
        <left/>
        <right style="thin">
          <color rgb="FFBFBFBF"/>
        </right>
        <top style="thin">
          <color rgb="FFBFBFBF"/>
        </top>
        <bottom style="thin">
          <color rgb="FFBFBFBF"/>
        </bottom>
      </border>
    </dxf>
    <dxf>
      <font>
        <strike val="0"/>
        <outline val="0"/>
        <shadow val="0"/>
        <u val="none"/>
        <vertAlign val="baseline"/>
        <sz val="12"/>
        <color theme="1"/>
        <name val="Calibri"/>
        <family val="2"/>
      </font>
      <alignment vertical="center" textRotation="0" wrapText="1" indent="0" justifyLastLine="0" shrinkToFit="0" readingOrder="0"/>
    </dxf>
    <dxf>
      <font>
        <b/>
        <color rgb="FFFFFFFF"/>
        <name val="Calibri"/>
        <family val="2"/>
      </font>
      <fill>
        <patternFill patternType="solid">
          <fgColor indexed="64"/>
          <bgColor rgb="FF5B9BD5"/>
        </patternFill>
      </fill>
      <alignment horizontal="center" vertical="center" textRotation="0"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20247</xdr:colOff>
      <xdr:row>1</xdr:row>
      <xdr:rowOff>16564</xdr:rowOff>
    </xdr:from>
    <xdr:to>
      <xdr:col>11</xdr:col>
      <xdr:colOff>184701</xdr:colOff>
      <xdr:row>18</xdr:row>
      <xdr:rowOff>184288</xdr:rowOff>
    </xdr:to>
    <xdr:pic>
      <xdr:nvPicPr>
        <xdr:cNvPr id="11" name="圖片 10">
          <a:extLst>
            <a:ext uri="{FF2B5EF4-FFF2-40B4-BE49-F238E27FC236}">
              <a16:creationId xmlns:a16="http://schemas.microsoft.com/office/drawing/2014/main" id="{E519F938-3238-2B7C-8D7D-5CF6EE94C8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1399" y="256760"/>
          <a:ext cx="2218541" cy="454094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BB8B32-63E3-426A-A2E6-A1D5BB24223A}" name="Version_Update_History" displayName="Version_Update_History" ref="A2:C7" totalsRowShown="0" headerRowDxfId="4" dataDxfId="3">
  <autoFilter ref="A2:C7" xr:uid="{E5BB8B32-63E3-426A-A2E6-A1D5BB24223A}"/>
  <tableColumns count="3">
    <tableColumn id="1" xr3:uid="{CA5EBD7C-0D1B-433E-B5F6-04D2D3ED6CBA}" name="Version" dataDxfId="2"/>
    <tableColumn id="2" xr3:uid="{8B208B35-C326-47D9-9F61-3F4429DB55B9}" name="Updates" dataDxfId="1"/>
    <tableColumn id="3" xr3:uid="{C0913DAD-9DE3-48E1-B7A6-A9273158D17D}" name="Note" dataDxfId="0"/>
  </tableColumns>
  <tableStyleInfo name="TableStyleMedium2" showFirstColumn="0" showLastColumn="0" showRowStripes="1" showColumnStripes="0"/>
</table>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F101-4912-4036-813D-69C1E72D3879}">
  <dimension ref="A1:L18"/>
  <sheetViews>
    <sheetView zoomScale="115" zoomScaleNormal="115" workbookViewId="0">
      <selection activeCell="E12" sqref="E12"/>
    </sheetView>
  </sheetViews>
  <sheetFormatPr defaultColWidth="9" defaultRowHeight="18.75" x14ac:dyDescent="0.25"/>
  <cols>
    <col min="1" max="1" width="21" style="1" customWidth="1"/>
    <col min="2" max="2" width="8.375" style="1" customWidth="1"/>
    <col min="3" max="4" width="7.5" style="1" customWidth="1"/>
    <col min="5" max="5" width="7.875" style="1" customWidth="1"/>
    <col min="6" max="6" width="9.5" style="1" customWidth="1"/>
    <col min="7" max="10" width="9" style="1"/>
    <col min="11" max="11" width="8.875" style="1" customWidth="1"/>
    <col min="12" max="16384" width="9" style="1"/>
  </cols>
  <sheetData>
    <row r="1" spans="1:6" x14ac:dyDescent="0.25">
      <c r="A1" s="170" t="s">
        <v>0</v>
      </c>
      <c r="B1" s="170"/>
      <c r="C1" s="170"/>
      <c r="D1" s="170"/>
      <c r="E1" s="170"/>
    </row>
    <row r="2" spans="1:6" x14ac:dyDescent="0.25">
      <c r="A2" s="122" t="s">
        <v>1</v>
      </c>
      <c r="B2" s="123" t="s">
        <v>643</v>
      </c>
      <c r="C2" s="48"/>
      <c r="D2" s="48"/>
      <c r="E2" s="48"/>
      <c r="F2" s="48"/>
    </row>
    <row r="3" spans="1:6" x14ac:dyDescent="0.25">
      <c r="A3" s="48"/>
      <c r="B3" s="48"/>
      <c r="C3" s="48"/>
      <c r="D3" s="48"/>
      <c r="E3" s="48"/>
      <c r="F3" s="48"/>
    </row>
    <row r="4" spans="1:6" x14ac:dyDescent="0.25">
      <c r="A4" s="124" t="s">
        <v>2</v>
      </c>
      <c r="B4" s="124" t="s">
        <v>3</v>
      </c>
      <c r="C4" s="124" t="s">
        <v>4</v>
      </c>
      <c r="D4" s="124" t="s">
        <v>5</v>
      </c>
      <c r="E4" s="124" t="s">
        <v>6</v>
      </c>
      <c r="F4" s="124" t="s">
        <v>7</v>
      </c>
    </row>
    <row r="5" spans="1:6" x14ac:dyDescent="0.25">
      <c r="A5" s="125" t="s">
        <v>8</v>
      </c>
      <c r="B5" s="177">
        <v>0</v>
      </c>
      <c r="C5" s="177" t="str">
        <f>DEC2HEX(HEX2DEC(B6)-1)</f>
        <v>3DF</v>
      </c>
      <c r="D5" s="177">
        <f>F5/2</f>
        <v>992</v>
      </c>
      <c r="E5" s="177">
        <v>15872</v>
      </c>
      <c r="F5" s="177">
        <f>E5/8</f>
        <v>1984</v>
      </c>
    </row>
    <row r="6" spans="1:6" x14ac:dyDescent="0.25">
      <c r="A6" s="125" t="s">
        <v>9</v>
      </c>
      <c r="B6" s="177" t="str">
        <f>DEC2HEX(HEX2DEC(B5)+D5)</f>
        <v>3E0</v>
      </c>
      <c r="C6" s="177" t="str">
        <f t="shared" ref="C6" si="0">DEC2HEX(HEX2DEC(B7)-1)</f>
        <v>3FF</v>
      </c>
      <c r="D6" s="177">
        <f t="shared" ref="D6" si="1">F6/2</f>
        <v>32</v>
      </c>
      <c r="E6" s="177">
        <v>512</v>
      </c>
      <c r="F6" s="177">
        <f t="shared" ref="F6:F13" si="2">E6/8</f>
        <v>64</v>
      </c>
    </row>
    <row r="7" spans="1:6" x14ac:dyDescent="0.25">
      <c r="A7" s="125" t="s">
        <v>10</v>
      </c>
      <c r="B7" s="177" t="str">
        <f>DEC2HEX(HEX2DEC(B6)+D6)</f>
        <v>400</v>
      </c>
      <c r="C7" s="177" t="str">
        <f t="shared" ref="C7:C13" si="3">DEC2HEX(HEX2DEC(B8)-1)</f>
        <v>41F</v>
      </c>
      <c r="D7" s="177">
        <f t="shared" ref="D7:D13" si="4">F7/2</f>
        <v>32</v>
      </c>
      <c r="E7" s="177">
        <v>512</v>
      </c>
      <c r="F7" s="177">
        <f t="shared" si="2"/>
        <v>64</v>
      </c>
    </row>
    <row r="8" spans="1:6" x14ac:dyDescent="0.25">
      <c r="A8" s="125" t="s">
        <v>11</v>
      </c>
      <c r="B8" s="177" t="str">
        <f t="shared" ref="B8:B14" si="5">DEC2HEX(HEX2DEC(B7)+D7)</f>
        <v>420</v>
      </c>
      <c r="C8" s="177" t="str">
        <f t="shared" si="3"/>
        <v>42F</v>
      </c>
      <c r="D8" s="177">
        <f t="shared" si="4"/>
        <v>16</v>
      </c>
      <c r="E8" s="177">
        <v>256</v>
      </c>
      <c r="F8" s="177">
        <f t="shared" si="2"/>
        <v>32</v>
      </c>
    </row>
    <row r="9" spans="1:6" x14ac:dyDescent="0.25">
      <c r="A9" s="125" t="s">
        <v>394</v>
      </c>
      <c r="B9" s="177" t="str">
        <f t="shared" si="5"/>
        <v>430</v>
      </c>
      <c r="C9" s="177" t="str">
        <f t="shared" si="3"/>
        <v>43F</v>
      </c>
      <c r="D9" s="177">
        <f t="shared" si="4"/>
        <v>16</v>
      </c>
      <c r="E9" s="177">
        <v>256</v>
      </c>
      <c r="F9" s="177">
        <f t="shared" si="2"/>
        <v>32</v>
      </c>
    </row>
    <row r="10" spans="1:6" x14ac:dyDescent="0.25">
      <c r="A10" s="125" t="s">
        <v>12</v>
      </c>
      <c r="B10" s="177" t="str">
        <f t="shared" si="5"/>
        <v>440</v>
      </c>
      <c r="C10" s="177" t="str">
        <f t="shared" si="3"/>
        <v>FFF</v>
      </c>
      <c r="D10" s="177">
        <f t="shared" si="4"/>
        <v>3008</v>
      </c>
      <c r="E10" s="177">
        <v>48128</v>
      </c>
      <c r="F10" s="177">
        <f t="shared" si="2"/>
        <v>6016</v>
      </c>
    </row>
    <row r="11" spans="1:6" x14ac:dyDescent="0.25">
      <c r="A11" s="125" t="s">
        <v>13</v>
      </c>
      <c r="B11" s="177" t="str">
        <f t="shared" si="5"/>
        <v>1000</v>
      </c>
      <c r="C11" s="177" t="str">
        <f t="shared" si="3"/>
        <v>1BFF</v>
      </c>
      <c r="D11" s="177">
        <f t="shared" si="4"/>
        <v>3072</v>
      </c>
      <c r="E11" s="177">
        <v>49152</v>
      </c>
      <c r="F11" s="177">
        <f t="shared" si="2"/>
        <v>6144</v>
      </c>
    </row>
    <row r="12" spans="1:6" x14ac:dyDescent="0.25">
      <c r="A12" s="125" t="s">
        <v>14</v>
      </c>
      <c r="B12" s="177" t="str">
        <f t="shared" si="5"/>
        <v>1C00</v>
      </c>
      <c r="C12" s="177" t="str">
        <f t="shared" si="3"/>
        <v>1F7F</v>
      </c>
      <c r="D12" s="177">
        <f t="shared" si="4"/>
        <v>896</v>
      </c>
      <c r="E12" s="177">
        <v>14336</v>
      </c>
      <c r="F12" s="177">
        <f t="shared" si="2"/>
        <v>1792</v>
      </c>
    </row>
    <row r="13" spans="1:6" ht="19.5" thickBot="1" x14ac:dyDescent="0.3">
      <c r="A13" s="126" t="s">
        <v>15</v>
      </c>
      <c r="B13" s="178" t="str">
        <f t="shared" si="5"/>
        <v>1F80</v>
      </c>
      <c r="C13" s="178" t="str">
        <f t="shared" si="3"/>
        <v>1FFF</v>
      </c>
      <c r="D13" s="178">
        <f t="shared" si="4"/>
        <v>128</v>
      </c>
      <c r="E13" s="178">
        <v>2048</v>
      </c>
      <c r="F13" s="178">
        <f t="shared" si="2"/>
        <v>256</v>
      </c>
    </row>
    <row r="14" spans="1:6" x14ac:dyDescent="0.25">
      <c r="A14" s="57" t="s">
        <v>16</v>
      </c>
      <c r="B14" s="179" t="str">
        <f t="shared" si="5"/>
        <v>2000</v>
      </c>
      <c r="C14" s="179"/>
      <c r="D14" s="179">
        <f>SUM(D5:D13)</f>
        <v>8192</v>
      </c>
      <c r="E14" s="179">
        <f>SUM(E5:E13)</f>
        <v>131072</v>
      </c>
      <c r="F14" s="179">
        <f>SUM(F5:F13)</f>
        <v>16384</v>
      </c>
    </row>
    <row r="16" spans="1:6" x14ac:dyDescent="0.25">
      <c r="F16" s="136"/>
    </row>
    <row r="17" spans="1:12" x14ac:dyDescent="0.25">
      <c r="A17" s="152" t="s">
        <v>627</v>
      </c>
    </row>
    <row r="18" spans="1:12" ht="41.25" customHeight="1" x14ac:dyDescent="0.25">
      <c r="A18" s="171" t="s">
        <v>644</v>
      </c>
      <c r="B18" s="172"/>
      <c r="C18" s="172"/>
      <c r="D18" s="172"/>
      <c r="E18" s="172"/>
      <c r="F18" s="172"/>
      <c r="G18" s="173"/>
      <c r="L18"/>
    </row>
  </sheetData>
  <mergeCells count="2">
    <mergeCell ref="A1:E1"/>
    <mergeCell ref="A18:G18"/>
  </mergeCells>
  <phoneticPr fontId="1" type="noConversion"/>
  <hyperlinks>
    <hyperlink ref="A5" location="OTPROM!A1" display="OTPROM" xr:uid="{728D7EE1-BE7D-4A46-931D-E00F3C5BA689}"/>
    <hyperlink ref="A6" location="OTPRBP!A1" display="OTPRBP" xr:uid="{23B423A2-1658-4897-A224-C01B42D4E916}"/>
    <hyperlink ref="A7" location="OTPCFG!A1" display="OTPCFG" xr:uid="{F0EE1623-5B90-4C59-BE01-60CA72F5B24A}"/>
    <hyperlink ref="A8" location="OTPSTRAP!A1" display="OTPSTRAP" xr:uid="{CBB73D6D-2213-4661-8414-03B6304334C0}"/>
    <hyperlink ref="A9" location="OTPSTRAP_EXT!A1" display="OTPSTRAP_EXT" xr:uid="{0A3A0ADA-E1F8-4463-A9B3-D2008ACB364B}"/>
    <hyperlink ref="A10" location="OTPUSR!A1" display="OTPUSR" xr:uid="{794A4F67-37C6-40C4-B2C8-11AF8FB7A888}"/>
    <hyperlink ref="A11" location="OTPSEC!A1" display="OTPSEC" xr:uid="{59347E83-257C-4160-820E-1A2B9BFE1266}"/>
    <hyperlink ref="A12" location="OTPCAL!A1" display="OTPCAL" xr:uid="{36DE8035-4A82-485E-8B02-9088B78E53AE}"/>
    <hyperlink ref="A13" location="OTPPUF!A1" display="OTPPUF" xr:uid="{5CE58570-B1F2-428D-BEC7-49F23B0A969B}"/>
  </hyperlinks>
  <pageMargins left="0.7" right="0.7" top="0.75" bottom="0.75" header="0.3" footer="0.3"/>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88D59-190D-4933-807D-569480D4E5E9}">
  <dimension ref="A1:H4"/>
  <sheetViews>
    <sheetView zoomScaleNormal="100" workbookViewId="0">
      <pane ySplit="1" topLeftCell="A2" activePane="bottomLeft" state="frozen"/>
      <selection pane="bottomLeft" activeCell="C2" sqref="C2"/>
    </sheetView>
  </sheetViews>
  <sheetFormatPr defaultColWidth="9" defaultRowHeight="15.75" x14ac:dyDescent="0.25"/>
  <cols>
    <col min="1" max="1" width="21" style="11" customWidth="1"/>
    <col min="2" max="2" width="37" style="11" customWidth="1"/>
    <col min="3" max="3" width="8.375" style="11" customWidth="1"/>
    <col min="4" max="4" width="10.375" style="11" customWidth="1"/>
    <col min="5" max="5" width="12.375" style="11" customWidth="1"/>
    <col min="6" max="6" width="15.875" style="11" customWidth="1"/>
    <col min="7" max="7" width="67.375" style="11" customWidth="1"/>
    <col min="8" max="8" width="23.125" style="11" customWidth="1"/>
    <col min="9" max="16384" width="9" style="11"/>
  </cols>
  <sheetData>
    <row r="1" spans="1:8" s="6" customFormat="1" ht="18.75" x14ac:dyDescent="0.25">
      <c r="A1" s="110" t="s">
        <v>306</v>
      </c>
      <c r="B1" s="110" t="s">
        <v>17</v>
      </c>
      <c r="C1" s="110" t="s">
        <v>308</v>
      </c>
      <c r="D1" s="110" t="s">
        <v>312</v>
      </c>
      <c r="E1" s="110" t="s">
        <v>313</v>
      </c>
      <c r="F1" s="110" t="s">
        <v>314</v>
      </c>
      <c r="G1" s="110" t="s">
        <v>18</v>
      </c>
      <c r="H1" s="110" t="s">
        <v>19</v>
      </c>
    </row>
    <row r="2" spans="1:8" ht="31.5" x14ac:dyDescent="0.25">
      <c r="A2" s="112" t="s">
        <v>20</v>
      </c>
      <c r="B2" s="151" t="s">
        <v>21</v>
      </c>
      <c r="C2" s="7" t="s">
        <v>309</v>
      </c>
      <c r="D2" s="8">
        <v>15872</v>
      </c>
      <c r="E2" s="8">
        <f t="shared" ref="E2" si="0">QUOTIENT(D2+7,8)</f>
        <v>1984</v>
      </c>
      <c r="F2" s="8">
        <f t="shared" ref="F2" si="1">QUOTIENT(E2+1,2)</f>
        <v>992</v>
      </c>
      <c r="G2" s="9" t="s">
        <v>310</v>
      </c>
      <c r="H2" s="10"/>
    </row>
    <row r="3" spans="1:8" ht="19.5" customHeight="1" thickBot="1" x14ac:dyDescent="0.3">
      <c r="A3" s="12" t="str">
        <f>DEC2HEX(HEX2DEC(A2)+F2)</f>
        <v>3E0</v>
      </c>
      <c r="B3" s="13" t="s">
        <v>22</v>
      </c>
      <c r="C3" s="59"/>
      <c r="D3" s="12">
        <f>SUM(D2:D2)</f>
        <v>15872</v>
      </c>
      <c r="E3" s="12">
        <f>SUM(E2:E2)</f>
        <v>1984</v>
      </c>
      <c r="F3" s="12">
        <f>SUM(F2:F2)</f>
        <v>992</v>
      </c>
      <c r="G3" s="12"/>
      <c r="H3" s="14"/>
    </row>
    <row r="4" spans="1:8" ht="17.25" hidden="1" customHeight="1" x14ac:dyDescent="0.25">
      <c r="A4" s="8" t="str">
        <f>DEC2HEX(F4)</f>
        <v>3E0</v>
      </c>
      <c r="B4" s="8" t="s">
        <v>23</v>
      </c>
      <c r="C4" s="8"/>
      <c r="D4" s="8">
        <f>F3*16</f>
        <v>15872</v>
      </c>
      <c r="E4" s="8">
        <f t="shared" ref="E4" si="2">QUOTIENT(D4+7,8)</f>
        <v>1984</v>
      </c>
      <c r="F4" s="8">
        <f t="shared" ref="F4" si="3">QUOTIENT(E4+1,2)</f>
        <v>992</v>
      </c>
    </row>
  </sheetData>
  <phoneticPr fontId="1" type="noConversion"/>
  <pageMargins left="0.7" right="0.7" top="0.75" bottom="0.75" header="0.3" footer="0.3"/>
  <pageSetup paperSize="9" scale="4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C5886-7CD8-42E0-9230-019EC22A238E}">
  <dimension ref="A1:Q14"/>
  <sheetViews>
    <sheetView zoomScaleNormal="100" workbookViewId="0">
      <pane ySplit="1" topLeftCell="A2" activePane="bottomLeft" state="frozen"/>
      <selection pane="bottomLeft" activeCell="G8" sqref="G8"/>
    </sheetView>
  </sheetViews>
  <sheetFormatPr defaultColWidth="9" defaultRowHeight="16.5" x14ac:dyDescent="0.25"/>
  <cols>
    <col min="1" max="1" width="21.625" style="3" customWidth="1"/>
    <col min="2" max="2" width="34" style="3" customWidth="1"/>
    <col min="3" max="3" width="6.5" style="3" customWidth="1"/>
    <col min="4" max="4" width="10.875" style="3" customWidth="1"/>
    <col min="5" max="5" width="11.875" style="3" customWidth="1"/>
    <col min="6" max="6" width="12.125" style="3" customWidth="1"/>
    <col min="7" max="7" width="71.125" style="3" customWidth="1"/>
    <col min="8" max="8" width="23.125" style="3" customWidth="1"/>
    <col min="9" max="17" width="9" style="4"/>
    <col min="18" max="16384" width="9" style="3"/>
  </cols>
  <sheetData>
    <row r="1" spans="1:17" s="2" customFormat="1" ht="18.75" x14ac:dyDescent="0.25">
      <c r="A1" s="110" t="s">
        <v>306</v>
      </c>
      <c r="B1" s="110" t="s">
        <v>529</v>
      </c>
      <c r="C1" s="110" t="s">
        <v>308</v>
      </c>
      <c r="D1" s="110" t="s">
        <v>312</v>
      </c>
      <c r="E1" s="110" t="s">
        <v>313</v>
      </c>
      <c r="F1" s="110" t="s">
        <v>314</v>
      </c>
      <c r="G1" s="110" t="s">
        <v>18</v>
      </c>
      <c r="H1" s="110" t="s">
        <v>19</v>
      </c>
      <c r="I1" s="4"/>
      <c r="J1" s="4"/>
      <c r="K1" s="4"/>
      <c r="L1" s="4"/>
      <c r="M1" s="4"/>
      <c r="N1" s="4"/>
      <c r="O1" s="4"/>
      <c r="P1" s="4"/>
      <c r="Q1" s="4"/>
    </row>
    <row r="2" spans="1:17" x14ac:dyDescent="0.25">
      <c r="A2" s="112" t="s">
        <v>24</v>
      </c>
      <c r="B2" s="15" t="s">
        <v>25</v>
      </c>
      <c r="C2" s="61" t="s">
        <v>311</v>
      </c>
      <c r="D2" s="8">
        <v>16</v>
      </c>
      <c r="E2" s="8">
        <f t="shared" ref="E2:E3" si="0">QUOTIENT(D2+7,8)</f>
        <v>2</v>
      </c>
      <c r="F2" s="8">
        <f t="shared" ref="F2:F3" si="1">QUOTIENT(E2+1,2)</f>
        <v>1</v>
      </c>
      <c r="G2" s="16" t="s">
        <v>25</v>
      </c>
      <c r="H2" s="16"/>
    </row>
    <row r="3" spans="1:17" x14ac:dyDescent="0.25">
      <c r="A3" s="140" t="str">
        <f t="shared" ref="A3:A8" si="2">DEC2HEX(HEX2DEC(A2)+F2)</f>
        <v>3E1</v>
      </c>
      <c r="B3" s="8" t="s">
        <v>25</v>
      </c>
      <c r="C3" s="61" t="s">
        <v>311</v>
      </c>
      <c r="D3" s="16">
        <v>16</v>
      </c>
      <c r="E3" s="16">
        <f t="shared" si="0"/>
        <v>2</v>
      </c>
      <c r="F3" s="16">
        <f t="shared" si="1"/>
        <v>1</v>
      </c>
      <c r="G3" s="16" t="s">
        <v>25</v>
      </c>
      <c r="H3" s="16"/>
    </row>
    <row r="4" spans="1:17" x14ac:dyDescent="0.25">
      <c r="A4" s="140" t="str">
        <f t="shared" si="2"/>
        <v>3E2</v>
      </c>
      <c r="B4" s="10" t="s">
        <v>26</v>
      </c>
      <c r="C4" s="61" t="s">
        <v>311</v>
      </c>
      <c r="D4" s="16">
        <v>16</v>
      </c>
      <c r="E4" s="16">
        <f t="shared" ref="E4:E8" si="3">QUOTIENT(D4+7,8)</f>
        <v>2</v>
      </c>
      <c r="F4" s="16">
        <f t="shared" ref="F4:F8" si="4">QUOTIENT(E4+1,2)</f>
        <v>1</v>
      </c>
      <c r="G4" s="16" t="s">
        <v>25</v>
      </c>
      <c r="H4" s="18"/>
    </row>
    <row r="5" spans="1:17" ht="126" x14ac:dyDescent="0.25">
      <c r="A5" s="140" t="str">
        <f t="shared" si="2"/>
        <v>3E3</v>
      </c>
      <c r="B5" s="10" t="s">
        <v>609</v>
      </c>
      <c r="C5" s="61" t="s">
        <v>311</v>
      </c>
      <c r="D5" s="16">
        <v>16</v>
      </c>
      <c r="E5" s="16">
        <f t="shared" si="3"/>
        <v>2</v>
      </c>
      <c r="F5" s="16">
        <f t="shared" si="4"/>
        <v>1</v>
      </c>
      <c r="G5" s="16" t="s">
        <v>647</v>
      </c>
      <c r="H5" s="18" t="s">
        <v>27</v>
      </c>
    </row>
    <row r="6" spans="1:17" ht="110.25" x14ac:dyDescent="0.25">
      <c r="A6" s="140" t="str">
        <f t="shared" si="2"/>
        <v>3E4</v>
      </c>
      <c r="B6" s="16" t="s">
        <v>28</v>
      </c>
      <c r="C6" s="61" t="s">
        <v>315</v>
      </c>
      <c r="D6" s="16">
        <v>64</v>
      </c>
      <c r="E6" s="16">
        <f t="shared" si="3"/>
        <v>8</v>
      </c>
      <c r="F6" s="16">
        <f t="shared" si="4"/>
        <v>4</v>
      </c>
      <c r="G6" s="19" t="s">
        <v>648</v>
      </c>
      <c r="H6" s="20" t="s">
        <v>29</v>
      </c>
    </row>
    <row r="7" spans="1:17" ht="47.25" x14ac:dyDescent="0.25">
      <c r="A7" s="141" t="str">
        <f t="shared" si="2"/>
        <v>3E8</v>
      </c>
      <c r="B7" s="18" t="s">
        <v>30</v>
      </c>
      <c r="C7" s="61" t="s">
        <v>307</v>
      </c>
      <c r="D7" s="16">
        <v>32</v>
      </c>
      <c r="E7" s="22">
        <f t="shared" si="3"/>
        <v>4</v>
      </c>
      <c r="F7" s="22">
        <f t="shared" si="4"/>
        <v>2</v>
      </c>
      <c r="G7" s="16" t="s">
        <v>31</v>
      </c>
      <c r="H7" s="20" t="s">
        <v>29</v>
      </c>
    </row>
    <row r="8" spans="1:17" ht="47.25" x14ac:dyDescent="0.25">
      <c r="A8" s="140" t="str">
        <f t="shared" si="2"/>
        <v>3EA</v>
      </c>
      <c r="B8" s="18" t="s">
        <v>32</v>
      </c>
      <c r="C8" s="61" t="s">
        <v>316</v>
      </c>
      <c r="D8" s="16">
        <v>128</v>
      </c>
      <c r="E8" s="18">
        <f t="shared" si="3"/>
        <v>16</v>
      </c>
      <c r="F8" s="18">
        <f t="shared" si="4"/>
        <v>8</v>
      </c>
      <c r="G8" s="16" t="s">
        <v>646</v>
      </c>
      <c r="H8" s="20" t="s">
        <v>29</v>
      </c>
    </row>
    <row r="9" spans="1:17" x14ac:dyDescent="0.25">
      <c r="A9" s="140" t="str">
        <f>DEC2HEX(HEX2DEC(A8)+F8)</f>
        <v>3F2</v>
      </c>
      <c r="B9" s="18" t="s">
        <v>33</v>
      </c>
      <c r="C9" s="61" t="s">
        <v>317</v>
      </c>
      <c r="D9" s="16">
        <v>4</v>
      </c>
      <c r="E9" s="18">
        <f t="shared" ref="E9:E12" si="5">QUOTIENT(D9+7,8)</f>
        <v>1</v>
      </c>
      <c r="F9" s="18">
        <f t="shared" ref="F9:F12" si="6">QUOTIENT(E9+1,2)</f>
        <v>1</v>
      </c>
      <c r="G9" s="21" t="s">
        <v>34</v>
      </c>
      <c r="H9" s="23" t="s">
        <v>35</v>
      </c>
    </row>
    <row r="10" spans="1:17" x14ac:dyDescent="0.25">
      <c r="A10" s="140" t="str">
        <f>DEC2HEX(HEX2DEC(A8)+F8)</f>
        <v>3F2</v>
      </c>
      <c r="B10" s="18" t="s">
        <v>25</v>
      </c>
      <c r="C10" s="61" t="s">
        <v>636</v>
      </c>
      <c r="D10" s="16">
        <v>12</v>
      </c>
      <c r="E10" s="18">
        <f t="shared" si="5"/>
        <v>2</v>
      </c>
      <c r="F10" s="18">
        <f t="shared" si="6"/>
        <v>1</v>
      </c>
      <c r="G10" s="16" t="s">
        <v>25</v>
      </c>
      <c r="H10" s="23"/>
    </row>
    <row r="11" spans="1:17" x14ac:dyDescent="0.25">
      <c r="A11" s="140" t="str">
        <f>DEC2HEX(HEX2DEC(A9)+F9)</f>
        <v>3F3</v>
      </c>
      <c r="B11" s="18" t="s">
        <v>36</v>
      </c>
      <c r="C11" s="61" t="s">
        <v>307</v>
      </c>
      <c r="D11" s="16">
        <v>32</v>
      </c>
      <c r="E11" s="18">
        <f t="shared" si="5"/>
        <v>4</v>
      </c>
      <c r="F11" s="18">
        <f t="shared" si="6"/>
        <v>2</v>
      </c>
      <c r="G11" s="21" t="s">
        <v>37</v>
      </c>
      <c r="H11" s="23" t="s">
        <v>35</v>
      </c>
    </row>
    <row r="12" spans="1:17" x14ac:dyDescent="0.25">
      <c r="A12" s="140" t="str">
        <f t="shared" ref="A12" si="7">DEC2HEX(HEX2DEC(A11)+F11)</f>
        <v>3F5</v>
      </c>
      <c r="B12" s="18" t="s">
        <v>25</v>
      </c>
      <c r="C12" s="94" t="s">
        <v>635</v>
      </c>
      <c r="D12" s="16">
        <v>176</v>
      </c>
      <c r="E12" s="18">
        <f t="shared" si="5"/>
        <v>22</v>
      </c>
      <c r="F12" s="18">
        <f t="shared" si="6"/>
        <v>11</v>
      </c>
      <c r="G12" s="16" t="s">
        <v>25</v>
      </c>
      <c r="H12" s="20"/>
    </row>
    <row r="13" spans="1:17" x14ac:dyDescent="0.25">
      <c r="A13" s="12" t="str">
        <f>DEC2HEX(HEX2DEC(A12)+F12)</f>
        <v>400</v>
      </c>
      <c r="B13" s="13" t="s">
        <v>22</v>
      </c>
      <c r="C13" s="59"/>
      <c r="D13" s="12">
        <f>SUM(D2:D12)</f>
        <v>512</v>
      </c>
      <c r="E13" s="12">
        <f>QUOTIENT(D13+7,8)</f>
        <v>64</v>
      </c>
      <c r="F13" s="12">
        <f>QUOTIENT(E13+1,2)</f>
        <v>32</v>
      </c>
      <c r="G13" s="12"/>
      <c r="H13" s="14"/>
    </row>
    <row r="14" spans="1:17" x14ac:dyDescent="0.25">
      <c r="A14" s="8" t="str">
        <f>DEC2HEX(F14)</f>
        <v>20</v>
      </c>
      <c r="B14" s="8" t="s">
        <v>23</v>
      </c>
      <c r="C14" s="8"/>
      <c r="D14" s="8">
        <f>D13</f>
        <v>512</v>
      </c>
      <c r="E14" s="8">
        <f t="shared" ref="E14" si="8">QUOTIENT(D14+7,8)</f>
        <v>64</v>
      </c>
      <c r="F14" s="8">
        <f t="shared" ref="F14" si="9">QUOTIENT(E14+1,2)</f>
        <v>32</v>
      </c>
      <c r="G14" s="11"/>
      <c r="H14" s="11"/>
    </row>
  </sheetData>
  <phoneticPr fontId="1" type="noConversion"/>
  <pageMargins left="0.7" right="0.7" top="0.75" bottom="0.75" header="0.3" footer="0.3"/>
  <pageSetup paperSize="9" scale="3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30CA0-4404-4A81-8CD8-988F2B8495CD}">
  <dimension ref="A1:I147"/>
  <sheetViews>
    <sheetView workbookViewId="0">
      <pane ySplit="1" topLeftCell="A32" activePane="bottomLeft" state="frozen"/>
      <selection pane="bottomLeft" activeCell="D109" sqref="D109"/>
    </sheetView>
  </sheetViews>
  <sheetFormatPr defaultRowHeight="16.5" x14ac:dyDescent="0.25"/>
  <cols>
    <col min="1" max="1" width="22.5" customWidth="1"/>
    <col min="2" max="2" width="35" customWidth="1"/>
    <col min="3" max="3" width="6.625" style="60" customWidth="1"/>
    <col min="4" max="4" width="9.875" customWidth="1"/>
    <col min="5" max="5" width="11.25" customWidth="1"/>
    <col min="6" max="6" width="11.875" customWidth="1"/>
    <col min="7" max="7" width="65.5" customWidth="1"/>
    <col min="8" max="8" width="19.25" customWidth="1"/>
    <col min="9" max="9" width="20.25" customWidth="1"/>
  </cols>
  <sheetData>
    <row r="1" spans="1:9" ht="19.5" thickBot="1" x14ac:dyDescent="0.3">
      <c r="A1" s="110" t="s">
        <v>306</v>
      </c>
      <c r="B1" s="110" t="s">
        <v>529</v>
      </c>
      <c r="C1" s="110" t="s">
        <v>308</v>
      </c>
      <c r="D1" s="110" t="s">
        <v>312</v>
      </c>
      <c r="E1" s="110" t="s">
        <v>313</v>
      </c>
      <c r="F1" s="110" t="s">
        <v>314</v>
      </c>
      <c r="G1" s="110" t="s">
        <v>18</v>
      </c>
      <c r="H1" s="110" t="s">
        <v>19</v>
      </c>
      <c r="I1" s="110" t="s">
        <v>318</v>
      </c>
    </row>
    <row r="2" spans="1:9" ht="31.5" x14ac:dyDescent="0.25">
      <c r="A2" s="117">
        <v>400</v>
      </c>
      <c r="B2" s="25" t="s">
        <v>38</v>
      </c>
      <c r="C2" s="62">
        <v>15</v>
      </c>
      <c r="D2" s="8">
        <v>1</v>
      </c>
      <c r="E2" s="16">
        <f t="shared" ref="E2:E11" si="0">QUOTIENT(D2+7,8)</f>
        <v>1</v>
      </c>
      <c r="F2" s="8">
        <f t="shared" ref="F2:F11" si="1">QUOTIENT(E2+1,2)</f>
        <v>1</v>
      </c>
      <c r="G2" s="26" t="s">
        <v>39</v>
      </c>
      <c r="H2" s="16" t="s">
        <v>355</v>
      </c>
      <c r="I2" s="26" t="s">
        <v>319</v>
      </c>
    </row>
    <row r="3" spans="1:9" ht="31.5" x14ac:dyDescent="0.25">
      <c r="A3" s="117">
        <v>400</v>
      </c>
      <c r="B3" s="28" t="s">
        <v>40</v>
      </c>
      <c r="C3" s="62">
        <v>14</v>
      </c>
      <c r="D3" s="16">
        <v>1</v>
      </c>
      <c r="E3" s="16">
        <f t="shared" si="0"/>
        <v>1</v>
      </c>
      <c r="F3" s="16">
        <f t="shared" si="1"/>
        <v>1</v>
      </c>
      <c r="G3" s="67" t="s">
        <v>41</v>
      </c>
      <c r="H3" s="16" t="s">
        <v>355</v>
      </c>
      <c r="I3" s="72" t="s">
        <v>319</v>
      </c>
    </row>
    <row r="4" spans="1:9" ht="63" x14ac:dyDescent="0.25">
      <c r="A4" s="117">
        <v>400</v>
      </c>
      <c r="B4" s="28" t="s">
        <v>42</v>
      </c>
      <c r="C4" s="62">
        <v>13</v>
      </c>
      <c r="D4" s="16">
        <v>1</v>
      </c>
      <c r="E4" s="16">
        <f t="shared" si="0"/>
        <v>1</v>
      </c>
      <c r="F4" s="16">
        <f t="shared" si="1"/>
        <v>1</v>
      </c>
      <c r="G4" s="34" t="s">
        <v>649</v>
      </c>
      <c r="H4" s="16" t="s">
        <v>355</v>
      </c>
      <c r="I4" s="72" t="s">
        <v>319</v>
      </c>
    </row>
    <row r="5" spans="1:9" ht="31.5" x14ac:dyDescent="0.25">
      <c r="A5" s="117">
        <v>400</v>
      </c>
      <c r="B5" s="27" t="s">
        <v>43</v>
      </c>
      <c r="C5" s="62">
        <v>12</v>
      </c>
      <c r="D5" s="16">
        <v>1</v>
      </c>
      <c r="E5" s="16">
        <f t="shared" si="0"/>
        <v>1</v>
      </c>
      <c r="F5" s="16">
        <f t="shared" si="1"/>
        <v>1</v>
      </c>
      <c r="G5" s="34" t="s">
        <v>44</v>
      </c>
      <c r="H5" s="16" t="s">
        <v>355</v>
      </c>
      <c r="I5" s="72" t="s">
        <v>319</v>
      </c>
    </row>
    <row r="6" spans="1:9" ht="63" x14ac:dyDescent="0.25">
      <c r="A6" s="117">
        <v>400</v>
      </c>
      <c r="B6" s="27" t="s">
        <v>45</v>
      </c>
      <c r="C6" s="62">
        <v>11</v>
      </c>
      <c r="D6" s="16">
        <v>1</v>
      </c>
      <c r="E6" s="16">
        <f t="shared" si="0"/>
        <v>1</v>
      </c>
      <c r="F6" s="16">
        <f t="shared" si="1"/>
        <v>1</v>
      </c>
      <c r="G6" s="34" t="s">
        <v>46</v>
      </c>
      <c r="H6" s="16" t="s">
        <v>355</v>
      </c>
      <c r="I6" s="72" t="s">
        <v>319</v>
      </c>
    </row>
    <row r="7" spans="1:9" ht="31.5" x14ac:dyDescent="0.25">
      <c r="A7" s="117">
        <v>400</v>
      </c>
      <c r="B7" s="29" t="s">
        <v>47</v>
      </c>
      <c r="C7" s="62">
        <v>10</v>
      </c>
      <c r="D7" s="16">
        <v>1</v>
      </c>
      <c r="E7" s="22">
        <f t="shared" si="0"/>
        <v>1</v>
      </c>
      <c r="F7" s="22">
        <f t="shared" si="1"/>
        <v>1</v>
      </c>
      <c r="G7" s="68" t="s">
        <v>48</v>
      </c>
      <c r="H7" s="16" t="s">
        <v>355</v>
      </c>
      <c r="I7" s="72" t="s">
        <v>319</v>
      </c>
    </row>
    <row r="8" spans="1:9" ht="78.75" x14ac:dyDescent="0.25">
      <c r="A8" s="117">
        <v>400</v>
      </c>
      <c r="B8" s="30" t="s">
        <v>49</v>
      </c>
      <c r="C8" s="62">
        <v>9</v>
      </c>
      <c r="D8" s="16">
        <v>1</v>
      </c>
      <c r="E8" s="18">
        <f t="shared" si="0"/>
        <v>1</v>
      </c>
      <c r="F8" s="18">
        <f t="shared" si="1"/>
        <v>1</v>
      </c>
      <c r="G8" s="69" t="s">
        <v>650</v>
      </c>
      <c r="H8" s="16" t="s">
        <v>355</v>
      </c>
      <c r="I8" s="72" t="s">
        <v>319</v>
      </c>
    </row>
    <row r="9" spans="1:9" ht="94.5" x14ac:dyDescent="0.25">
      <c r="A9" s="117">
        <v>400</v>
      </c>
      <c r="B9" s="25" t="s">
        <v>637</v>
      </c>
      <c r="C9" s="62">
        <v>8</v>
      </c>
      <c r="D9" s="16">
        <v>1</v>
      </c>
      <c r="E9" s="18">
        <f t="shared" si="0"/>
        <v>1</v>
      </c>
      <c r="F9" s="18">
        <f t="shared" si="1"/>
        <v>1</v>
      </c>
      <c r="G9" s="70" t="s">
        <v>651</v>
      </c>
      <c r="H9" s="16" t="s">
        <v>355</v>
      </c>
      <c r="I9" s="72" t="s">
        <v>319</v>
      </c>
    </row>
    <row r="10" spans="1:9" ht="31.5" x14ac:dyDescent="0.25">
      <c r="A10" s="117">
        <v>400</v>
      </c>
      <c r="B10" s="32" t="s">
        <v>50</v>
      </c>
      <c r="C10" s="62">
        <v>7</v>
      </c>
      <c r="D10" s="16">
        <v>1</v>
      </c>
      <c r="E10" s="18">
        <f t="shared" si="0"/>
        <v>1</v>
      </c>
      <c r="F10" s="18">
        <f t="shared" si="1"/>
        <v>1</v>
      </c>
      <c r="G10" s="69" t="s">
        <v>51</v>
      </c>
      <c r="H10" s="16" t="s">
        <v>355</v>
      </c>
      <c r="I10" s="72" t="s">
        <v>319</v>
      </c>
    </row>
    <row r="11" spans="1:9" ht="31.5" x14ac:dyDescent="0.25">
      <c r="A11" s="117">
        <v>400</v>
      </c>
      <c r="B11" s="32" t="s">
        <v>52</v>
      </c>
      <c r="C11" s="62">
        <v>6</v>
      </c>
      <c r="D11" s="16">
        <v>1</v>
      </c>
      <c r="E11" s="21">
        <f t="shared" si="0"/>
        <v>1</v>
      </c>
      <c r="F11" s="21">
        <f t="shared" si="1"/>
        <v>1</v>
      </c>
      <c r="G11" s="69" t="s">
        <v>53</v>
      </c>
      <c r="H11" s="16" t="s">
        <v>355</v>
      </c>
      <c r="I11" s="72" t="s">
        <v>319</v>
      </c>
    </row>
    <row r="12" spans="1:9" ht="47.25" x14ac:dyDescent="0.25">
      <c r="A12" s="117">
        <v>400</v>
      </c>
      <c r="B12" s="33" t="s">
        <v>54</v>
      </c>
      <c r="C12" s="62">
        <v>5</v>
      </c>
      <c r="D12" s="16">
        <v>1</v>
      </c>
      <c r="E12" s="18">
        <f t="shared" ref="E12:E17" si="2">QUOTIENT(D12+7,8)</f>
        <v>1</v>
      </c>
      <c r="F12" s="18">
        <f t="shared" ref="F12:F17" si="3">QUOTIENT(E12+1,2)</f>
        <v>1</v>
      </c>
      <c r="G12" s="69" t="s">
        <v>55</v>
      </c>
      <c r="H12" s="16" t="s">
        <v>355</v>
      </c>
      <c r="I12" s="72" t="s">
        <v>319</v>
      </c>
    </row>
    <row r="13" spans="1:9" ht="31.5" x14ac:dyDescent="0.25">
      <c r="A13" s="117">
        <v>400</v>
      </c>
      <c r="B13" s="34" t="s">
        <v>56</v>
      </c>
      <c r="C13" s="62">
        <v>4</v>
      </c>
      <c r="D13" s="16">
        <v>1</v>
      </c>
      <c r="E13" s="21">
        <f t="shared" si="2"/>
        <v>1</v>
      </c>
      <c r="F13" s="21">
        <f t="shared" si="3"/>
        <v>1</v>
      </c>
      <c r="G13" s="69" t="s">
        <v>57</v>
      </c>
      <c r="H13" s="16" t="s">
        <v>355</v>
      </c>
      <c r="I13" s="72" t="s">
        <v>319</v>
      </c>
    </row>
    <row r="14" spans="1:9" ht="31.5" x14ac:dyDescent="0.25">
      <c r="A14" s="117">
        <v>400</v>
      </c>
      <c r="B14" s="35" t="s">
        <v>58</v>
      </c>
      <c r="C14" s="62">
        <v>3</v>
      </c>
      <c r="D14" s="16">
        <v>1</v>
      </c>
      <c r="E14" s="18">
        <f t="shared" si="2"/>
        <v>1</v>
      </c>
      <c r="F14" s="18">
        <f t="shared" si="3"/>
        <v>1</v>
      </c>
      <c r="G14" s="69" t="s">
        <v>59</v>
      </c>
      <c r="H14" s="16" t="s">
        <v>355</v>
      </c>
      <c r="I14" s="72" t="s">
        <v>319</v>
      </c>
    </row>
    <row r="15" spans="1:9" ht="31.5" x14ac:dyDescent="0.25">
      <c r="A15" s="117">
        <v>400</v>
      </c>
      <c r="B15" s="35" t="s">
        <v>60</v>
      </c>
      <c r="C15" s="62">
        <v>2</v>
      </c>
      <c r="D15" s="16">
        <v>1</v>
      </c>
      <c r="E15" s="21">
        <f t="shared" si="2"/>
        <v>1</v>
      </c>
      <c r="F15" s="21">
        <f t="shared" si="3"/>
        <v>1</v>
      </c>
      <c r="G15" s="69" t="s">
        <v>61</v>
      </c>
      <c r="H15" s="16" t="s">
        <v>355</v>
      </c>
      <c r="I15" s="72" t="s">
        <v>319</v>
      </c>
    </row>
    <row r="16" spans="1:9" ht="31.5" x14ac:dyDescent="0.25">
      <c r="A16" s="117">
        <v>400</v>
      </c>
      <c r="B16" s="35" t="s">
        <v>62</v>
      </c>
      <c r="C16" s="62">
        <v>1</v>
      </c>
      <c r="D16" s="16">
        <v>1</v>
      </c>
      <c r="E16" s="18">
        <f t="shared" si="2"/>
        <v>1</v>
      </c>
      <c r="F16" s="18">
        <f t="shared" si="3"/>
        <v>1</v>
      </c>
      <c r="G16" s="69" t="s">
        <v>63</v>
      </c>
      <c r="H16" s="16" t="s">
        <v>355</v>
      </c>
      <c r="I16" s="72" t="s">
        <v>319</v>
      </c>
    </row>
    <row r="17" spans="1:9" ht="32.25" thickBot="1" x14ac:dyDescent="0.3">
      <c r="A17" s="119">
        <v>400</v>
      </c>
      <c r="B17" s="38" t="s">
        <v>64</v>
      </c>
      <c r="C17" s="63">
        <v>0</v>
      </c>
      <c r="D17" s="64">
        <v>1</v>
      </c>
      <c r="E17" s="64">
        <f t="shared" si="2"/>
        <v>1</v>
      </c>
      <c r="F17" s="64">
        <f t="shared" si="3"/>
        <v>1</v>
      </c>
      <c r="G17" s="71" t="s">
        <v>65</v>
      </c>
      <c r="H17" s="64" t="s">
        <v>355</v>
      </c>
      <c r="I17" s="92" t="s">
        <v>319</v>
      </c>
    </row>
    <row r="18" spans="1:9" ht="32.25" thickBot="1" x14ac:dyDescent="0.3">
      <c r="A18" s="142" t="str">
        <f t="shared" ref="A18:A19" si="4">DEC2HEX(HEX2DEC(A17)+F17)</f>
        <v>401</v>
      </c>
      <c r="B18" s="40" t="s">
        <v>66</v>
      </c>
      <c r="C18" s="65" t="s">
        <v>311</v>
      </c>
      <c r="D18" s="66">
        <v>16</v>
      </c>
      <c r="E18" s="66">
        <f t="shared" ref="E18:E19" si="5">QUOTIENT(D18+7,8)</f>
        <v>2</v>
      </c>
      <c r="F18" s="66">
        <f t="shared" ref="F18:F19" si="6">QUOTIENT(E18+1,2)</f>
        <v>1</v>
      </c>
      <c r="G18" s="78" t="s">
        <v>67</v>
      </c>
      <c r="H18" s="66" t="s">
        <v>355</v>
      </c>
      <c r="I18" s="42" t="s">
        <v>322</v>
      </c>
    </row>
    <row r="19" spans="1:9" x14ac:dyDescent="0.25">
      <c r="A19" s="143" t="str">
        <f t="shared" si="4"/>
        <v>402</v>
      </c>
      <c r="B19" s="7" t="s">
        <v>25</v>
      </c>
      <c r="C19" s="61" t="s">
        <v>642</v>
      </c>
      <c r="D19" s="8">
        <v>2</v>
      </c>
      <c r="E19" s="8">
        <f t="shared" si="5"/>
        <v>1</v>
      </c>
      <c r="F19" s="8">
        <f t="shared" si="6"/>
        <v>1</v>
      </c>
      <c r="G19" s="76" t="s">
        <v>25</v>
      </c>
      <c r="H19" s="76"/>
      <c r="I19" s="15" t="s">
        <v>356</v>
      </c>
    </row>
    <row r="20" spans="1:9" ht="31.5" x14ac:dyDescent="0.25">
      <c r="A20" s="117">
        <v>402</v>
      </c>
      <c r="B20" s="36" t="s">
        <v>68</v>
      </c>
      <c r="C20" s="62">
        <v>13</v>
      </c>
      <c r="D20" s="8">
        <v>1</v>
      </c>
      <c r="E20" s="16">
        <f t="shared" ref="E20:E107" si="7">QUOTIENT(D20+7,8)</f>
        <v>1</v>
      </c>
      <c r="F20" s="8">
        <f t="shared" ref="F20:F107" si="8">QUOTIENT(E20+1,2)</f>
        <v>1</v>
      </c>
      <c r="G20" s="34" t="s">
        <v>69</v>
      </c>
      <c r="H20" s="57"/>
      <c r="I20" s="19" t="s">
        <v>356</v>
      </c>
    </row>
    <row r="21" spans="1:9" x14ac:dyDescent="0.25">
      <c r="A21" s="117">
        <v>402</v>
      </c>
      <c r="B21" s="36" t="s">
        <v>26</v>
      </c>
      <c r="C21" s="62">
        <v>12</v>
      </c>
      <c r="D21" s="8">
        <v>1</v>
      </c>
      <c r="E21" s="16">
        <f t="shared" si="7"/>
        <v>1</v>
      </c>
      <c r="F21" s="8">
        <f t="shared" si="8"/>
        <v>1</v>
      </c>
      <c r="G21" s="34" t="s">
        <v>26</v>
      </c>
      <c r="H21" s="57"/>
      <c r="I21" s="19" t="s">
        <v>356</v>
      </c>
    </row>
    <row r="22" spans="1:9" x14ac:dyDescent="0.25">
      <c r="A22" s="117">
        <v>402</v>
      </c>
      <c r="B22" s="36" t="s">
        <v>26</v>
      </c>
      <c r="C22" s="62">
        <v>11</v>
      </c>
      <c r="D22" s="8">
        <v>1</v>
      </c>
      <c r="E22" s="16">
        <f t="shared" si="7"/>
        <v>1</v>
      </c>
      <c r="F22" s="8">
        <f t="shared" si="8"/>
        <v>1</v>
      </c>
      <c r="G22" s="34" t="s">
        <v>26</v>
      </c>
      <c r="H22" s="57"/>
      <c r="I22" s="19" t="s">
        <v>356</v>
      </c>
    </row>
    <row r="23" spans="1:9" x14ac:dyDescent="0.25">
      <c r="A23" s="117">
        <v>402</v>
      </c>
      <c r="B23" s="36" t="s">
        <v>26</v>
      </c>
      <c r="C23" s="62">
        <v>10</v>
      </c>
      <c r="D23" s="8">
        <v>1</v>
      </c>
      <c r="E23" s="16">
        <f t="shared" si="7"/>
        <v>1</v>
      </c>
      <c r="F23" s="8">
        <f t="shared" si="8"/>
        <v>1</v>
      </c>
      <c r="G23" s="34" t="s">
        <v>26</v>
      </c>
      <c r="H23" s="57"/>
      <c r="I23" s="19" t="s">
        <v>356</v>
      </c>
    </row>
    <row r="24" spans="1:9" ht="110.25" x14ac:dyDescent="0.25">
      <c r="A24" s="117">
        <v>402</v>
      </c>
      <c r="B24" s="73" t="s">
        <v>70</v>
      </c>
      <c r="C24" s="61" t="s">
        <v>320</v>
      </c>
      <c r="D24" s="8">
        <v>2</v>
      </c>
      <c r="E24" s="16">
        <f t="shared" si="7"/>
        <v>1</v>
      </c>
      <c r="F24" s="8">
        <f t="shared" si="8"/>
        <v>1</v>
      </c>
      <c r="G24" s="77" t="s">
        <v>745</v>
      </c>
      <c r="H24" s="57" t="s">
        <v>387</v>
      </c>
      <c r="I24" s="19" t="s">
        <v>356</v>
      </c>
    </row>
    <row r="25" spans="1:9" ht="63" x14ac:dyDescent="0.25">
      <c r="A25" s="117">
        <v>402</v>
      </c>
      <c r="B25" s="36" t="s">
        <v>71</v>
      </c>
      <c r="C25" s="61" t="s">
        <v>321</v>
      </c>
      <c r="D25" s="8">
        <v>2</v>
      </c>
      <c r="E25" s="16">
        <f t="shared" si="7"/>
        <v>1</v>
      </c>
      <c r="F25" s="8">
        <f t="shared" si="8"/>
        <v>1</v>
      </c>
      <c r="G25" s="77" t="s">
        <v>72</v>
      </c>
      <c r="H25" s="57" t="s">
        <v>386</v>
      </c>
      <c r="I25" s="19" t="s">
        <v>356</v>
      </c>
    </row>
    <row r="26" spans="1:9" ht="47.25" x14ac:dyDescent="0.25">
      <c r="A26" s="117">
        <v>402</v>
      </c>
      <c r="B26" s="36" t="s">
        <v>73</v>
      </c>
      <c r="C26" s="62">
        <v>5</v>
      </c>
      <c r="D26" s="8">
        <v>1</v>
      </c>
      <c r="E26" s="16">
        <f t="shared" si="7"/>
        <v>1</v>
      </c>
      <c r="F26" s="8">
        <f t="shared" si="8"/>
        <v>1</v>
      </c>
      <c r="G26" s="77" t="s">
        <v>652</v>
      </c>
      <c r="H26" s="57" t="s">
        <v>388</v>
      </c>
      <c r="I26" s="19" t="s">
        <v>356</v>
      </c>
    </row>
    <row r="27" spans="1:9" ht="47.25" x14ac:dyDescent="0.25">
      <c r="A27" s="117">
        <v>402</v>
      </c>
      <c r="B27" s="36" t="s">
        <v>74</v>
      </c>
      <c r="C27" s="62">
        <v>4</v>
      </c>
      <c r="D27" s="8">
        <v>1</v>
      </c>
      <c r="E27" s="16">
        <f t="shared" si="7"/>
        <v>1</v>
      </c>
      <c r="F27" s="8">
        <f t="shared" si="8"/>
        <v>1</v>
      </c>
      <c r="G27" s="34" t="s">
        <v>75</v>
      </c>
      <c r="H27" s="57" t="s">
        <v>386</v>
      </c>
      <c r="I27" s="19" t="s">
        <v>356</v>
      </c>
    </row>
    <row r="28" spans="1:9" ht="110.25" x14ac:dyDescent="0.25">
      <c r="A28" s="117">
        <v>402</v>
      </c>
      <c r="B28" s="31" t="s">
        <v>76</v>
      </c>
      <c r="C28" s="62">
        <v>3</v>
      </c>
      <c r="D28" s="8">
        <v>1</v>
      </c>
      <c r="E28" s="16">
        <f t="shared" si="7"/>
        <v>1</v>
      </c>
      <c r="F28" s="8">
        <f t="shared" si="8"/>
        <v>1</v>
      </c>
      <c r="G28" s="34" t="s">
        <v>77</v>
      </c>
      <c r="H28" s="57" t="s">
        <v>389</v>
      </c>
      <c r="I28" s="19" t="s">
        <v>356</v>
      </c>
    </row>
    <row r="29" spans="1:9" x14ac:dyDescent="0.25">
      <c r="A29" s="117">
        <v>402</v>
      </c>
      <c r="B29" s="36" t="s">
        <v>26</v>
      </c>
      <c r="C29" s="62">
        <v>2</v>
      </c>
      <c r="D29" s="8">
        <v>1</v>
      </c>
      <c r="E29" s="16">
        <f t="shared" si="7"/>
        <v>1</v>
      </c>
      <c r="F29" s="8">
        <f t="shared" si="8"/>
        <v>1</v>
      </c>
      <c r="G29" s="34" t="s">
        <v>26</v>
      </c>
      <c r="H29" s="57"/>
      <c r="I29" s="19" t="s">
        <v>356</v>
      </c>
    </row>
    <row r="30" spans="1:9" x14ac:dyDescent="0.25">
      <c r="A30" s="117">
        <v>402</v>
      </c>
      <c r="B30" s="36" t="s">
        <v>26</v>
      </c>
      <c r="C30" s="62">
        <v>1</v>
      </c>
      <c r="D30" s="8">
        <v>1</v>
      </c>
      <c r="E30" s="16">
        <f t="shared" si="7"/>
        <v>1</v>
      </c>
      <c r="F30" s="8">
        <f t="shared" si="8"/>
        <v>1</v>
      </c>
      <c r="G30" s="34" t="s">
        <v>26</v>
      </c>
      <c r="H30" s="57"/>
      <c r="I30" s="19" t="s">
        <v>356</v>
      </c>
    </row>
    <row r="31" spans="1:9" ht="95.25" thickBot="1" x14ac:dyDescent="0.3">
      <c r="A31" s="119">
        <v>402</v>
      </c>
      <c r="B31" s="74" t="s">
        <v>78</v>
      </c>
      <c r="C31" s="93">
        <v>0</v>
      </c>
      <c r="D31" s="64">
        <v>1</v>
      </c>
      <c r="E31" s="64">
        <f t="shared" si="7"/>
        <v>1</v>
      </c>
      <c r="F31" s="64">
        <f t="shared" si="8"/>
        <v>1</v>
      </c>
      <c r="G31" s="38" t="s">
        <v>653</v>
      </c>
      <c r="H31" s="99" t="s">
        <v>391</v>
      </c>
      <c r="I31" s="46" t="s">
        <v>356</v>
      </c>
    </row>
    <row r="32" spans="1:9" ht="32.25" thickBot="1" x14ac:dyDescent="0.3">
      <c r="A32" s="144">
        <v>403</v>
      </c>
      <c r="B32" s="47" t="s">
        <v>79</v>
      </c>
      <c r="C32" s="65" t="s">
        <v>311</v>
      </c>
      <c r="D32" s="66">
        <v>16</v>
      </c>
      <c r="E32" s="66">
        <f t="shared" si="7"/>
        <v>2</v>
      </c>
      <c r="F32" s="66">
        <f t="shared" si="8"/>
        <v>1</v>
      </c>
      <c r="G32" s="78" t="s">
        <v>80</v>
      </c>
      <c r="H32" s="49"/>
      <c r="I32" s="42" t="s">
        <v>357</v>
      </c>
    </row>
    <row r="33" spans="1:9" x14ac:dyDescent="0.25">
      <c r="A33" s="137">
        <v>404</v>
      </c>
      <c r="B33" s="79" t="s">
        <v>26</v>
      </c>
      <c r="C33" s="61" t="s">
        <v>324</v>
      </c>
      <c r="D33" s="8">
        <v>5</v>
      </c>
      <c r="E33" s="8">
        <f t="shared" si="7"/>
        <v>1</v>
      </c>
      <c r="F33" s="8">
        <f t="shared" si="8"/>
        <v>1</v>
      </c>
      <c r="G33" s="84" t="s">
        <v>323</v>
      </c>
      <c r="H33" s="50"/>
      <c r="I33" s="15" t="s">
        <v>358</v>
      </c>
    </row>
    <row r="34" spans="1:9" ht="31.5" x14ac:dyDescent="0.25">
      <c r="A34" s="117">
        <v>404</v>
      </c>
      <c r="B34" s="43" t="s">
        <v>81</v>
      </c>
      <c r="C34" s="94" t="s">
        <v>325</v>
      </c>
      <c r="D34" s="16">
        <v>10</v>
      </c>
      <c r="E34" s="16">
        <f t="shared" si="7"/>
        <v>2</v>
      </c>
      <c r="F34" s="8">
        <f t="shared" si="8"/>
        <v>1</v>
      </c>
      <c r="G34" s="44" t="s">
        <v>82</v>
      </c>
      <c r="H34" s="57" t="s">
        <v>391</v>
      </c>
      <c r="I34" s="19" t="s">
        <v>358</v>
      </c>
    </row>
    <row r="35" spans="1:9" ht="48" thickBot="1" x14ac:dyDescent="0.3">
      <c r="A35" s="119">
        <v>404</v>
      </c>
      <c r="B35" s="96" t="s">
        <v>83</v>
      </c>
      <c r="C35" s="93">
        <v>0</v>
      </c>
      <c r="D35" s="64">
        <v>1</v>
      </c>
      <c r="E35" s="64">
        <f t="shared" si="7"/>
        <v>1</v>
      </c>
      <c r="F35" s="91">
        <f t="shared" si="8"/>
        <v>1</v>
      </c>
      <c r="G35" s="97" t="s">
        <v>610</v>
      </c>
      <c r="H35" s="58" t="s">
        <v>391</v>
      </c>
      <c r="I35" s="46" t="s">
        <v>358</v>
      </c>
    </row>
    <row r="36" spans="1:9" x14ac:dyDescent="0.25">
      <c r="A36" s="137">
        <v>405</v>
      </c>
      <c r="B36" s="43" t="s">
        <v>26</v>
      </c>
      <c r="C36" s="61" t="s">
        <v>326</v>
      </c>
      <c r="D36" s="8">
        <v>6</v>
      </c>
      <c r="E36" s="8">
        <f t="shared" si="7"/>
        <v>1</v>
      </c>
      <c r="F36" s="8">
        <f t="shared" si="8"/>
        <v>1</v>
      </c>
      <c r="G36" s="84" t="s">
        <v>323</v>
      </c>
      <c r="H36" s="50"/>
      <c r="I36" s="15" t="s">
        <v>359</v>
      </c>
    </row>
    <row r="37" spans="1:9" ht="48" thickBot="1" x14ac:dyDescent="0.3">
      <c r="A37" s="119">
        <v>405</v>
      </c>
      <c r="B37" s="96" t="s">
        <v>84</v>
      </c>
      <c r="C37" s="95" t="s">
        <v>327</v>
      </c>
      <c r="D37" s="64">
        <v>10</v>
      </c>
      <c r="E37" s="64">
        <f t="shared" si="7"/>
        <v>2</v>
      </c>
      <c r="F37" s="91">
        <f t="shared" si="8"/>
        <v>1</v>
      </c>
      <c r="G37" s="97" t="s">
        <v>654</v>
      </c>
      <c r="H37" s="99" t="s">
        <v>391</v>
      </c>
      <c r="I37" s="46" t="s">
        <v>359</v>
      </c>
    </row>
    <row r="38" spans="1:9" x14ac:dyDescent="0.25">
      <c r="A38" s="137">
        <v>406</v>
      </c>
      <c r="B38" s="79" t="s">
        <v>26</v>
      </c>
      <c r="C38" s="61" t="s">
        <v>324</v>
      </c>
      <c r="D38" s="8">
        <v>5</v>
      </c>
      <c r="E38" s="8">
        <f t="shared" si="7"/>
        <v>1</v>
      </c>
      <c r="F38" s="8">
        <f t="shared" si="8"/>
        <v>1</v>
      </c>
      <c r="G38" s="84" t="s">
        <v>26</v>
      </c>
      <c r="H38" s="50"/>
      <c r="I38" s="15" t="s">
        <v>360</v>
      </c>
    </row>
    <row r="39" spans="1:9" ht="31.5" x14ac:dyDescent="0.25">
      <c r="A39" s="117">
        <v>406</v>
      </c>
      <c r="B39" s="162" t="s">
        <v>85</v>
      </c>
      <c r="C39" s="94" t="s">
        <v>325</v>
      </c>
      <c r="D39" s="16">
        <v>10</v>
      </c>
      <c r="E39" s="16">
        <f t="shared" si="7"/>
        <v>2</v>
      </c>
      <c r="F39" s="8">
        <f t="shared" si="8"/>
        <v>1</v>
      </c>
      <c r="G39" s="44" t="s">
        <v>82</v>
      </c>
      <c r="H39" s="57" t="s">
        <v>391</v>
      </c>
      <c r="I39" s="15" t="s">
        <v>360</v>
      </c>
    </row>
    <row r="40" spans="1:9" ht="48" thickBot="1" x14ac:dyDescent="0.3">
      <c r="A40" s="119">
        <v>406</v>
      </c>
      <c r="B40" s="163" t="s">
        <v>86</v>
      </c>
      <c r="C40" s="93">
        <v>0</v>
      </c>
      <c r="D40" s="64">
        <v>1</v>
      </c>
      <c r="E40" s="64">
        <f t="shared" si="7"/>
        <v>1</v>
      </c>
      <c r="F40" s="91">
        <f t="shared" si="8"/>
        <v>1</v>
      </c>
      <c r="G40" s="97" t="s">
        <v>87</v>
      </c>
      <c r="H40" s="99" t="s">
        <v>391</v>
      </c>
      <c r="I40" s="41" t="s">
        <v>360</v>
      </c>
    </row>
    <row r="41" spans="1:9" x14ac:dyDescent="0.25">
      <c r="A41" s="137">
        <v>407</v>
      </c>
      <c r="B41" s="43" t="s">
        <v>26</v>
      </c>
      <c r="C41" s="61" t="s">
        <v>326</v>
      </c>
      <c r="D41" s="8">
        <v>6</v>
      </c>
      <c r="E41" s="8">
        <f t="shared" si="7"/>
        <v>1</v>
      </c>
      <c r="F41" s="8">
        <f t="shared" si="8"/>
        <v>1</v>
      </c>
      <c r="G41" s="44" t="s">
        <v>25</v>
      </c>
      <c r="H41" s="50"/>
      <c r="I41" s="15" t="s">
        <v>361</v>
      </c>
    </row>
    <row r="42" spans="1:9" ht="48" thickBot="1" x14ac:dyDescent="0.3">
      <c r="A42" s="119">
        <v>407</v>
      </c>
      <c r="B42" s="163" t="s">
        <v>88</v>
      </c>
      <c r="C42" s="95" t="s">
        <v>327</v>
      </c>
      <c r="D42" s="64">
        <v>10</v>
      </c>
      <c r="E42" s="64">
        <f t="shared" si="7"/>
        <v>2</v>
      </c>
      <c r="F42" s="91">
        <f t="shared" si="8"/>
        <v>1</v>
      </c>
      <c r="G42" s="97" t="s">
        <v>655</v>
      </c>
      <c r="H42" s="99" t="s">
        <v>390</v>
      </c>
      <c r="I42" s="41" t="s">
        <v>361</v>
      </c>
    </row>
    <row r="43" spans="1:9" ht="17.25" thickBot="1" x14ac:dyDescent="0.3">
      <c r="A43" s="144">
        <v>408</v>
      </c>
      <c r="B43" s="83" t="s">
        <v>26</v>
      </c>
      <c r="C43" s="65" t="s">
        <v>311</v>
      </c>
      <c r="D43" s="66">
        <v>16</v>
      </c>
      <c r="E43" s="66">
        <f t="shared" si="7"/>
        <v>2</v>
      </c>
      <c r="F43" s="66">
        <f t="shared" si="8"/>
        <v>1</v>
      </c>
      <c r="G43" s="39" t="s">
        <v>26</v>
      </c>
      <c r="H43" s="49"/>
      <c r="I43" s="42" t="s">
        <v>362</v>
      </c>
    </row>
    <row r="44" spans="1:9" ht="78.75" x14ac:dyDescent="0.25">
      <c r="A44" s="137">
        <v>409</v>
      </c>
      <c r="B44" s="81" t="s">
        <v>590</v>
      </c>
      <c r="C44" s="62">
        <v>15</v>
      </c>
      <c r="D44" s="8">
        <v>1</v>
      </c>
      <c r="E44" s="8">
        <f t="shared" si="7"/>
        <v>1</v>
      </c>
      <c r="F44" s="8">
        <f t="shared" si="8"/>
        <v>1</v>
      </c>
      <c r="G44" s="86" t="s">
        <v>656</v>
      </c>
      <c r="H44" s="50" t="s">
        <v>392</v>
      </c>
      <c r="I44" s="15" t="s">
        <v>363</v>
      </c>
    </row>
    <row r="45" spans="1:9" x14ac:dyDescent="0.25">
      <c r="A45" s="117">
        <v>409</v>
      </c>
      <c r="B45" s="29" t="s">
        <v>581</v>
      </c>
      <c r="C45" s="98">
        <v>14</v>
      </c>
      <c r="D45" s="16">
        <v>1</v>
      </c>
      <c r="E45" s="16">
        <f t="shared" ref="E45:E58" si="9">QUOTIENT(D45+7,8)</f>
        <v>1</v>
      </c>
      <c r="F45" s="16">
        <f t="shared" ref="F45:F58" si="10">QUOTIENT(E45+1,2)</f>
        <v>1</v>
      </c>
      <c r="G45" s="19" t="s">
        <v>587</v>
      </c>
      <c r="H45" s="50" t="s">
        <v>392</v>
      </c>
      <c r="I45" s="15" t="s">
        <v>589</v>
      </c>
    </row>
    <row r="46" spans="1:9" x14ac:dyDescent="0.25">
      <c r="A46" s="117">
        <v>409</v>
      </c>
      <c r="B46" s="29" t="s">
        <v>581</v>
      </c>
      <c r="C46" s="98">
        <v>13</v>
      </c>
      <c r="D46" s="16">
        <v>1</v>
      </c>
      <c r="E46" s="16">
        <f t="shared" si="9"/>
        <v>1</v>
      </c>
      <c r="F46" s="16">
        <f t="shared" si="10"/>
        <v>1</v>
      </c>
      <c r="G46" s="19" t="s">
        <v>587</v>
      </c>
      <c r="H46" s="50" t="s">
        <v>392</v>
      </c>
      <c r="I46" s="15" t="s">
        <v>588</v>
      </c>
    </row>
    <row r="47" spans="1:9" x14ac:dyDescent="0.25">
      <c r="A47" s="117">
        <v>409</v>
      </c>
      <c r="B47" s="29" t="s">
        <v>581</v>
      </c>
      <c r="C47" s="98">
        <v>12</v>
      </c>
      <c r="D47" s="16">
        <v>1</v>
      </c>
      <c r="E47" s="16">
        <f t="shared" si="9"/>
        <v>1</v>
      </c>
      <c r="F47" s="16">
        <f t="shared" si="10"/>
        <v>1</v>
      </c>
      <c r="G47" s="19" t="s">
        <v>586</v>
      </c>
      <c r="H47" s="50" t="s">
        <v>392</v>
      </c>
      <c r="I47" s="15" t="s">
        <v>588</v>
      </c>
    </row>
    <row r="48" spans="1:9" x14ac:dyDescent="0.25">
      <c r="A48" s="117">
        <v>409</v>
      </c>
      <c r="B48" s="29" t="s">
        <v>581</v>
      </c>
      <c r="C48" s="98">
        <v>11</v>
      </c>
      <c r="D48" s="16">
        <v>1</v>
      </c>
      <c r="E48" s="16">
        <f t="shared" si="9"/>
        <v>1</v>
      </c>
      <c r="F48" s="16">
        <f t="shared" si="10"/>
        <v>1</v>
      </c>
      <c r="G48" s="19" t="s">
        <v>586</v>
      </c>
      <c r="H48" s="50" t="s">
        <v>392</v>
      </c>
      <c r="I48" s="15" t="s">
        <v>588</v>
      </c>
    </row>
    <row r="49" spans="1:9" x14ac:dyDescent="0.25">
      <c r="A49" s="117">
        <v>409</v>
      </c>
      <c r="B49" s="29" t="s">
        <v>591</v>
      </c>
      <c r="C49" s="98">
        <v>10</v>
      </c>
      <c r="D49" s="16">
        <v>1</v>
      </c>
      <c r="E49" s="16">
        <f t="shared" si="9"/>
        <v>1</v>
      </c>
      <c r="F49" s="16">
        <f t="shared" si="10"/>
        <v>1</v>
      </c>
      <c r="G49" s="19" t="s">
        <v>586</v>
      </c>
      <c r="H49" s="50" t="s">
        <v>392</v>
      </c>
      <c r="I49" s="15" t="s">
        <v>588</v>
      </c>
    </row>
    <row r="50" spans="1:9" x14ac:dyDescent="0.25">
      <c r="A50" s="117">
        <v>409</v>
      </c>
      <c r="B50" s="29" t="s">
        <v>605</v>
      </c>
      <c r="C50" s="98">
        <v>9</v>
      </c>
      <c r="D50" s="16">
        <v>1</v>
      </c>
      <c r="E50" s="16">
        <f t="shared" si="9"/>
        <v>1</v>
      </c>
      <c r="F50" s="16">
        <f t="shared" si="10"/>
        <v>1</v>
      </c>
      <c r="G50" s="19" t="s">
        <v>586</v>
      </c>
      <c r="H50" s="50" t="s">
        <v>392</v>
      </c>
      <c r="I50" s="15" t="s">
        <v>588</v>
      </c>
    </row>
    <row r="51" spans="1:9" x14ac:dyDescent="0.25">
      <c r="A51" s="117">
        <v>409</v>
      </c>
      <c r="B51" s="29" t="s">
        <v>592</v>
      </c>
      <c r="C51" s="98">
        <v>8</v>
      </c>
      <c r="D51" s="16">
        <v>1</v>
      </c>
      <c r="E51" s="16">
        <f t="shared" si="9"/>
        <v>1</v>
      </c>
      <c r="F51" s="16">
        <f t="shared" si="10"/>
        <v>1</v>
      </c>
      <c r="G51" s="19" t="s">
        <v>586</v>
      </c>
      <c r="H51" s="50" t="s">
        <v>392</v>
      </c>
      <c r="I51" s="15" t="s">
        <v>588</v>
      </c>
    </row>
    <row r="52" spans="1:9" x14ac:dyDescent="0.25">
      <c r="A52" s="117">
        <v>409</v>
      </c>
      <c r="B52" s="29" t="s">
        <v>593</v>
      </c>
      <c r="C52" s="98">
        <v>7</v>
      </c>
      <c r="D52" s="16">
        <v>1</v>
      </c>
      <c r="E52" s="16">
        <f t="shared" si="9"/>
        <v>1</v>
      </c>
      <c r="F52" s="16">
        <f t="shared" si="10"/>
        <v>1</v>
      </c>
      <c r="G52" s="19" t="s">
        <v>586</v>
      </c>
      <c r="H52" s="50" t="s">
        <v>392</v>
      </c>
      <c r="I52" s="15" t="s">
        <v>588</v>
      </c>
    </row>
    <row r="53" spans="1:9" x14ac:dyDescent="0.25">
      <c r="A53" s="117">
        <v>409</v>
      </c>
      <c r="B53" s="29" t="s">
        <v>581</v>
      </c>
      <c r="C53" s="98">
        <v>6</v>
      </c>
      <c r="D53" s="16">
        <v>1</v>
      </c>
      <c r="E53" s="16">
        <f t="shared" si="9"/>
        <v>1</v>
      </c>
      <c r="F53" s="16">
        <f t="shared" si="10"/>
        <v>1</v>
      </c>
      <c r="G53" s="19" t="s">
        <v>586</v>
      </c>
      <c r="H53" s="50" t="s">
        <v>392</v>
      </c>
      <c r="I53" s="15" t="s">
        <v>588</v>
      </c>
    </row>
    <row r="54" spans="1:9" x14ac:dyDescent="0.25">
      <c r="A54" s="117">
        <v>409</v>
      </c>
      <c r="B54" s="29" t="s">
        <v>594</v>
      </c>
      <c r="C54" s="98">
        <v>5</v>
      </c>
      <c r="D54" s="16">
        <v>1</v>
      </c>
      <c r="E54" s="16">
        <f t="shared" si="9"/>
        <v>1</v>
      </c>
      <c r="F54" s="16">
        <f t="shared" si="10"/>
        <v>1</v>
      </c>
      <c r="G54" s="19" t="s">
        <v>586</v>
      </c>
      <c r="H54" s="50" t="s">
        <v>392</v>
      </c>
      <c r="I54" s="15" t="s">
        <v>588</v>
      </c>
    </row>
    <row r="55" spans="1:9" x14ac:dyDescent="0.25">
      <c r="A55" s="117">
        <v>409</v>
      </c>
      <c r="B55" s="29" t="s">
        <v>581</v>
      </c>
      <c r="C55" s="98">
        <v>4</v>
      </c>
      <c r="D55" s="16">
        <v>1</v>
      </c>
      <c r="E55" s="16">
        <f t="shared" si="9"/>
        <v>1</v>
      </c>
      <c r="F55" s="16">
        <f t="shared" si="10"/>
        <v>1</v>
      </c>
      <c r="G55" s="19" t="s">
        <v>586</v>
      </c>
      <c r="H55" s="50" t="s">
        <v>392</v>
      </c>
      <c r="I55" s="15" t="s">
        <v>588</v>
      </c>
    </row>
    <row r="56" spans="1:9" x14ac:dyDescent="0.25">
      <c r="A56" s="117">
        <v>409</v>
      </c>
      <c r="B56" s="29" t="s">
        <v>581</v>
      </c>
      <c r="C56" s="98">
        <v>3</v>
      </c>
      <c r="D56" s="16">
        <v>1</v>
      </c>
      <c r="E56" s="16">
        <f t="shared" si="9"/>
        <v>1</v>
      </c>
      <c r="F56" s="16">
        <f t="shared" si="10"/>
        <v>1</v>
      </c>
      <c r="G56" s="19" t="s">
        <v>586</v>
      </c>
      <c r="H56" s="50" t="s">
        <v>392</v>
      </c>
      <c r="I56" s="15" t="s">
        <v>588</v>
      </c>
    </row>
    <row r="57" spans="1:9" x14ac:dyDescent="0.25">
      <c r="A57" s="117">
        <v>409</v>
      </c>
      <c r="B57" s="29" t="s">
        <v>595</v>
      </c>
      <c r="C57" s="98">
        <v>2</v>
      </c>
      <c r="D57" s="16">
        <v>1</v>
      </c>
      <c r="E57" s="16">
        <f t="shared" si="9"/>
        <v>1</v>
      </c>
      <c r="F57" s="16">
        <f t="shared" si="10"/>
        <v>1</v>
      </c>
      <c r="G57" s="19" t="s">
        <v>586</v>
      </c>
      <c r="H57" s="50" t="s">
        <v>392</v>
      </c>
      <c r="I57" s="15" t="s">
        <v>588</v>
      </c>
    </row>
    <row r="58" spans="1:9" x14ac:dyDescent="0.25">
      <c r="A58" s="117">
        <v>409</v>
      </c>
      <c r="B58" s="29" t="s">
        <v>604</v>
      </c>
      <c r="C58" s="98">
        <v>1</v>
      </c>
      <c r="D58" s="16">
        <v>1</v>
      </c>
      <c r="E58" s="16">
        <f t="shared" si="9"/>
        <v>1</v>
      </c>
      <c r="F58" s="16">
        <f t="shared" si="10"/>
        <v>1</v>
      </c>
      <c r="G58" s="19" t="s">
        <v>586</v>
      </c>
      <c r="H58" s="50" t="s">
        <v>392</v>
      </c>
      <c r="I58" s="15" t="s">
        <v>588</v>
      </c>
    </row>
    <row r="59" spans="1:9" ht="17.25" thickBot="1" x14ac:dyDescent="0.3">
      <c r="A59" s="119">
        <v>409</v>
      </c>
      <c r="B59" s="82" t="s">
        <v>585</v>
      </c>
      <c r="C59" s="62">
        <v>0</v>
      </c>
      <c r="D59" s="8">
        <v>1</v>
      </c>
      <c r="E59" s="64">
        <f t="shared" si="7"/>
        <v>1</v>
      </c>
      <c r="F59" s="64">
        <f t="shared" si="8"/>
        <v>1</v>
      </c>
      <c r="G59" s="19" t="s">
        <v>586</v>
      </c>
      <c r="H59" s="99" t="s">
        <v>392</v>
      </c>
      <c r="I59" s="46" t="s">
        <v>363</v>
      </c>
    </row>
    <row r="60" spans="1:9" x14ac:dyDescent="0.25">
      <c r="A60" s="145" t="s">
        <v>328</v>
      </c>
      <c r="B60" s="146" t="s">
        <v>26</v>
      </c>
      <c r="C60" s="100" t="s">
        <v>340</v>
      </c>
      <c r="D60" s="101">
        <v>8</v>
      </c>
      <c r="E60" s="101">
        <f t="shared" ref="E60:E61" si="11">QUOTIENT(D60+7,8)</f>
        <v>1</v>
      </c>
      <c r="F60" s="101">
        <f t="shared" ref="F60:F61" si="12">QUOTIENT(E60+1,2)</f>
        <v>1</v>
      </c>
      <c r="G60" s="102" t="s">
        <v>25</v>
      </c>
      <c r="H60" s="148" t="s">
        <v>583</v>
      </c>
      <c r="I60" s="149" t="s">
        <v>364</v>
      </c>
    </row>
    <row r="61" spans="1:9" x14ac:dyDescent="0.25">
      <c r="A61" s="117" t="s">
        <v>582</v>
      </c>
      <c r="B61" s="29" t="s">
        <v>596</v>
      </c>
      <c r="C61" s="62">
        <v>7</v>
      </c>
      <c r="D61" s="16">
        <v>1</v>
      </c>
      <c r="E61" s="16">
        <f t="shared" si="11"/>
        <v>1</v>
      </c>
      <c r="F61" s="16">
        <f t="shared" si="12"/>
        <v>1</v>
      </c>
      <c r="G61" s="19" t="s">
        <v>584</v>
      </c>
      <c r="H61" s="57" t="s">
        <v>583</v>
      </c>
      <c r="I61" s="19" t="s">
        <v>364</v>
      </c>
    </row>
    <row r="62" spans="1:9" x14ac:dyDescent="0.25">
      <c r="A62" s="117" t="s">
        <v>582</v>
      </c>
      <c r="B62" s="29" t="s">
        <v>597</v>
      </c>
      <c r="C62" s="62">
        <v>6</v>
      </c>
      <c r="D62" s="16">
        <v>1</v>
      </c>
      <c r="E62" s="16">
        <f t="shared" ref="E62:E67" si="13">QUOTIENT(D62+7,8)</f>
        <v>1</v>
      </c>
      <c r="F62" s="16">
        <f t="shared" ref="F62:F67" si="14">QUOTIENT(E62+1,2)</f>
        <v>1</v>
      </c>
      <c r="G62" s="19" t="s">
        <v>584</v>
      </c>
      <c r="H62" s="57" t="s">
        <v>583</v>
      </c>
      <c r="I62" s="19" t="s">
        <v>364</v>
      </c>
    </row>
    <row r="63" spans="1:9" x14ac:dyDescent="0.25">
      <c r="A63" s="117" t="s">
        <v>582</v>
      </c>
      <c r="B63" s="29" t="s">
        <v>598</v>
      </c>
      <c r="C63" s="62">
        <v>5</v>
      </c>
      <c r="D63" s="16">
        <v>1</v>
      </c>
      <c r="E63" s="16">
        <f t="shared" si="13"/>
        <v>1</v>
      </c>
      <c r="F63" s="16">
        <f t="shared" si="14"/>
        <v>1</v>
      </c>
      <c r="G63" s="19" t="s">
        <v>584</v>
      </c>
      <c r="H63" s="57" t="s">
        <v>583</v>
      </c>
      <c r="I63" s="19" t="s">
        <v>364</v>
      </c>
    </row>
    <row r="64" spans="1:9" x14ac:dyDescent="0.25">
      <c r="A64" s="117" t="s">
        <v>582</v>
      </c>
      <c r="B64" s="29" t="s">
        <v>599</v>
      </c>
      <c r="C64" s="62">
        <v>4</v>
      </c>
      <c r="D64" s="16">
        <v>1</v>
      </c>
      <c r="E64" s="16">
        <f t="shared" si="13"/>
        <v>1</v>
      </c>
      <c r="F64" s="16">
        <f t="shared" si="14"/>
        <v>1</v>
      </c>
      <c r="G64" s="19" t="s">
        <v>584</v>
      </c>
      <c r="H64" s="57" t="s">
        <v>583</v>
      </c>
      <c r="I64" s="19" t="s">
        <v>364</v>
      </c>
    </row>
    <row r="65" spans="1:9" x14ac:dyDescent="0.25">
      <c r="A65" s="117" t="s">
        <v>582</v>
      </c>
      <c r="B65" s="29" t="s">
        <v>600</v>
      </c>
      <c r="C65" s="62">
        <v>3</v>
      </c>
      <c r="D65" s="16">
        <v>1</v>
      </c>
      <c r="E65" s="16">
        <f t="shared" si="13"/>
        <v>1</v>
      </c>
      <c r="F65" s="16">
        <f t="shared" si="14"/>
        <v>1</v>
      </c>
      <c r="G65" s="19" t="s">
        <v>584</v>
      </c>
      <c r="H65" s="57" t="s">
        <v>583</v>
      </c>
      <c r="I65" s="19" t="s">
        <v>364</v>
      </c>
    </row>
    <row r="66" spans="1:9" x14ac:dyDescent="0.25">
      <c r="A66" s="117" t="s">
        <v>582</v>
      </c>
      <c r="B66" s="29" t="s">
        <v>601</v>
      </c>
      <c r="C66" s="62">
        <v>2</v>
      </c>
      <c r="D66" s="16">
        <v>1</v>
      </c>
      <c r="E66" s="16">
        <f t="shared" si="13"/>
        <v>1</v>
      </c>
      <c r="F66" s="16">
        <f t="shared" si="14"/>
        <v>1</v>
      </c>
      <c r="G66" s="19" t="s">
        <v>584</v>
      </c>
      <c r="H66" s="57" t="s">
        <v>583</v>
      </c>
      <c r="I66" s="19" t="s">
        <v>364</v>
      </c>
    </row>
    <row r="67" spans="1:9" x14ac:dyDescent="0.25">
      <c r="A67" s="117" t="s">
        <v>582</v>
      </c>
      <c r="B67" s="29" t="s">
        <v>602</v>
      </c>
      <c r="C67" s="62">
        <v>1</v>
      </c>
      <c r="D67" s="16">
        <v>1</v>
      </c>
      <c r="E67" s="16">
        <f t="shared" si="13"/>
        <v>1</v>
      </c>
      <c r="F67" s="16">
        <f t="shared" si="14"/>
        <v>1</v>
      </c>
      <c r="G67" s="19" t="s">
        <v>584</v>
      </c>
      <c r="H67" s="57" t="s">
        <v>583</v>
      </c>
      <c r="I67" s="19" t="s">
        <v>364</v>
      </c>
    </row>
    <row r="68" spans="1:9" ht="17.25" thickBot="1" x14ac:dyDescent="0.3">
      <c r="A68" s="119" t="s">
        <v>328</v>
      </c>
      <c r="B68" s="147" t="s">
        <v>603</v>
      </c>
      <c r="C68" s="93">
        <v>0</v>
      </c>
      <c r="D68" s="64">
        <v>1</v>
      </c>
      <c r="E68" s="64">
        <f t="shared" si="7"/>
        <v>1</v>
      </c>
      <c r="F68" s="64">
        <f t="shared" si="8"/>
        <v>1</v>
      </c>
      <c r="G68" s="46" t="s">
        <v>584</v>
      </c>
      <c r="H68" s="99" t="s">
        <v>392</v>
      </c>
      <c r="I68" s="46" t="s">
        <v>364</v>
      </c>
    </row>
    <row r="69" spans="1:9" x14ac:dyDescent="0.25">
      <c r="A69" s="116" t="s">
        <v>329</v>
      </c>
      <c r="B69" s="43" t="s">
        <v>25</v>
      </c>
      <c r="C69" s="100" t="s">
        <v>340</v>
      </c>
      <c r="D69" s="24">
        <v>8</v>
      </c>
      <c r="E69" s="24">
        <f t="shared" si="7"/>
        <v>1</v>
      </c>
      <c r="F69" s="24">
        <f t="shared" si="8"/>
        <v>1</v>
      </c>
      <c r="G69" s="44" t="s">
        <v>25</v>
      </c>
      <c r="H69" s="57" t="s">
        <v>393</v>
      </c>
      <c r="I69" s="15" t="s">
        <v>365</v>
      </c>
    </row>
    <row r="70" spans="1:9" x14ac:dyDescent="0.25">
      <c r="A70" s="117" t="s">
        <v>329</v>
      </c>
      <c r="B70" s="28" t="s">
        <v>620</v>
      </c>
      <c r="C70" s="98">
        <v>7</v>
      </c>
      <c r="D70" s="16">
        <v>1</v>
      </c>
      <c r="E70" s="16">
        <f t="shared" si="7"/>
        <v>1</v>
      </c>
      <c r="F70" s="16">
        <f t="shared" si="8"/>
        <v>1</v>
      </c>
      <c r="G70" s="19" t="s">
        <v>626</v>
      </c>
      <c r="H70" s="57" t="s">
        <v>393</v>
      </c>
      <c r="I70" s="15" t="s">
        <v>365</v>
      </c>
    </row>
    <row r="71" spans="1:9" x14ac:dyDescent="0.25">
      <c r="A71" s="117" t="s">
        <v>329</v>
      </c>
      <c r="B71" s="29" t="s">
        <v>619</v>
      </c>
      <c r="C71" s="98">
        <v>6</v>
      </c>
      <c r="D71" s="16">
        <v>1</v>
      </c>
      <c r="E71" s="16">
        <f t="shared" si="7"/>
        <v>1</v>
      </c>
      <c r="F71" s="8">
        <f t="shared" si="8"/>
        <v>1</v>
      </c>
      <c r="G71" s="84" t="s">
        <v>625</v>
      </c>
      <c r="H71" s="57" t="s">
        <v>393</v>
      </c>
      <c r="I71" s="15" t="s">
        <v>365</v>
      </c>
    </row>
    <row r="72" spans="1:9" x14ac:dyDescent="0.25">
      <c r="A72" s="117" t="s">
        <v>329</v>
      </c>
      <c r="B72" s="28" t="s">
        <v>618</v>
      </c>
      <c r="C72" s="98">
        <v>5</v>
      </c>
      <c r="D72" s="16">
        <v>1</v>
      </c>
      <c r="E72" s="16">
        <f t="shared" si="7"/>
        <v>1</v>
      </c>
      <c r="F72" s="8">
        <f t="shared" si="8"/>
        <v>1</v>
      </c>
      <c r="G72" s="88" t="s">
        <v>624</v>
      </c>
      <c r="H72" s="57" t="s">
        <v>393</v>
      </c>
      <c r="I72" s="15" t="s">
        <v>365</v>
      </c>
    </row>
    <row r="73" spans="1:9" x14ac:dyDescent="0.25">
      <c r="A73" s="117" t="s">
        <v>329</v>
      </c>
      <c r="B73" s="29" t="s">
        <v>617</v>
      </c>
      <c r="C73" s="98">
        <v>4</v>
      </c>
      <c r="D73" s="16">
        <v>1</v>
      </c>
      <c r="E73" s="16">
        <f t="shared" ref="E73" si="15">QUOTIENT(D73+7,8)</f>
        <v>1</v>
      </c>
      <c r="F73" s="8">
        <f t="shared" ref="F73" si="16">QUOTIENT(E73+1,2)</f>
        <v>1</v>
      </c>
      <c r="G73" s="88" t="s">
        <v>623</v>
      </c>
      <c r="H73" s="57" t="s">
        <v>393</v>
      </c>
      <c r="I73" s="15" t="s">
        <v>365</v>
      </c>
    </row>
    <row r="74" spans="1:9" x14ac:dyDescent="0.25">
      <c r="A74" s="117" t="s">
        <v>329</v>
      </c>
      <c r="B74" s="29" t="s">
        <v>616</v>
      </c>
      <c r="C74" s="98">
        <v>3</v>
      </c>
      <c r="D74" s="16">
        <v>1</v>
      </c>
      <c r="E74" s="16">
        <f t="shared" si="7"/>
        <v>1</v>
      </c>
      <c r="F74" s="8">
        <f t="shared" si="8"/>
        <v>1</v>
      </c>
      <c r="G74" s="88" t="s">
        <v>622</v>
      </c>
      <c r="H74" s="57" t="s">
        <v>393</v>
      </c>
      <c r="I74" s="15" t="s">
        <v>365</v>
      </c>
    </row>
    <row r="75" spans="1:9" x14ac:dyDescent="0.25">
      <c r="A75" s="117" t="s">
        <v>329</v>
      </c>
      <c r="B75" s="29" t="s">
        <v>615</v>
      </c>
      <c r="C75" s="98">
        <v>2</v>
      </c>
      <c r="D75" s="16">
        <v>1</v>
      </c>
      <c r="E75" s="16">
        <f t="shared" si="7"/>
        <v>1</v>
      </c>
      <c r="F75" s="8">
        <f t="shared" si="8"/>
        <v>1</v>
      </c>
      <c r="G75" s="88" t="s">
        <v>621</v>
      </c>
      <c r="H75" s="57" t="s">
        <v>393</v>
      </c>
      <c r="I75" s="15" t="s">
        <v>365</v>
      </c>
    </row>
    <row r="76" spans="1:9" x14ac:dyDescent="0.25">
      <c r="A76" s="117" t="s">
        <v>329</v>
      </c>
      <c r="B76" s="160" t="s">
        <v>614</v>
      </c>
      <c r="C76" s="62">
        <v>1</v>
      </c>
      <c r="D76" s="8">
        <v>1</v>
      </c>
      <c r="E76" s="16">
        <f t="shared" si="7"/>
        <v>1</v>
      </c>
      <c r="F76" s="8">
        <f t="shared" si="8"/>
        <v>1</v>
      </c>
      <c r="G76" s="88" t="s">
        <v>90</v>
      </c>
      <c r="H76" s="57" t="s">
        <v>393</v>
      </c>
      <c r="I76" s="15" t="s">
        <v>365</v>
      </c>
    </row>
    <row r="77" spans="1:9" ht="17.25" thickBot="1" x14ac:dyDescent="0.3">
      <c r="A77" s="119" t="s">
        <v>329</v>
      </c>
      <c r="B77" s="80" t="s">
        <v>613</v>
      </c>
      <c r="C77" s="93">
        <v>0</v>
      </c>
      <c r="D77" s="64">
        <v>1</v>
      </c>
      <c r="E77" s="64">
        <f t="shared" si="7"/>
        <v>1</v>
      </c>
      <c r="F77" s="91">
        <f t="shared" si="8"/>
        <v>1</v>
      </c>
      <c r="G77" s="97" t="s">
        <v>89</v>
      </c>
      <c r="H77" s="99" t="s">
        <v>393</v>
      </c>
      <c r="I77" s="41" t="s">
        <v>365</v>
      </c>
    </row>
    <row r="78" spans="1:9" ht="17.25" thickBot="1" x14ac:dyDescent="0.3">
      <c r="A78" s="111" t="s">
        <v>330</v>
      </c>
      <c r="B78" s="80" t="s">
        <v>25</v>
      </c>
      <c r="C78" s="90" t="s">
        <v>311</v>
      </c>
      <c r="D78" s="91">
        <v>16</v>
      </c>
      <c r="E78" s="91">
        <f t="shared" si="7"/>
        <v>2</v>
      </c>
      <c r="F78" s="66">
        <f t="shared" si="8"/>
        <v>1</v>
      </c>
      <c r="G78" s="39" t="s">
        <v>25</v>
      </c>
      <c r="H78" s="49"/>
      <c r="I78" s="41" t="s">
        <v>366</v>
      </c>
    </row>
    <row r="79" spans="1:9" ht="47.25" x14ac:dyDescent="0.25">
      <c r="A79" s="137" t="s">
        <v>331</v>
      </c>
      <c r="B79" s="43" t="s">
        <v>606</v>
      </c>
      <c r="C79" s="62">
        <v>15</v>
      </c>
      <c r="D79" s="8">
        <v>1</v>
      </c>
      <c r="E79" s="8">
        <f t="shared" si="7"/>
        <v>1</v>
      </c>
      <c r="F79" s="8">
        <f t="shared" si="8"/>
        <v>1</v>
      </c>
      <c r="G79" s="86" t="s">
        <v>657</v>
      </c>
      <c r="H79" s="50" t="s">
        <v>393</v>
      </c>
      <c r="I79" s="15" t="s">
        <v>367</v>
      </c>
    </row>
    <row r="80" spans="1:9" x14ac:dyDescent="0.25">
      <c r="A80" s="117" t="s">
        <v>331</v>
      </c>
      <c r="B80" s="75" t="s">
        <v>91</v>
      </c>
      <c r="C80" s="62">
        <v>14</v>
      </c>
      <c r="D80" s="8">
        <v>1</v>
      </c>
      <c r="E80" s="16">
        <f t="shared" si="7"/>
        <v>1</v>
      </c>
      <c r="F80" s="8">
        <f t="shared" si="8"/>
        <v>1</v>
      </c>
      <c r="G80" s="89" t="s">
        <v>92</v>
      </c>
      <c r="H80" s="57" t="s">
        <v>393</v>
      </c>
      <c r="I80" s="15" t="s">
        <v>367</v>
      </c>
    </row>
    <row r="81" spans="1:9" x14ac:dyDescent="0.25">
      <c r="A81" s="117" t="s">
        <v>331</v>
      </c>
      <c r="B81" s="75" t="s">
        <v>93</v>
      </c>
      <c r="C81" s="62">
        <v>13</v>
      </c>
      <c r="D81" s="8">
        <v>1</v>
      </c>
      <c r="E81" s="16">
        <f t="shared" si="7"/>
        <v>1</v>
      </c>
      <c r="F81" s="8">
        <f t="shared" si="8"/>
        <v>1</v>
      </c>
      <c r="G81" s="87" t="s">
        <v>94</v>
      </c>
      <c r="H81" s="57" t="s">
        <v>393</v>
      </c>
      <c r="I81" s="15" t="s">
        <v>367</v>
      </c>
    </row>
    <row r="82" spans="1:9" x14ac:dyDescent="0.25">
      <c r="A82" s="117" t="s">
        <v>331</v>
      </c>
      <c r="B82" s="75" t="s">
        <v>26</v>
      </c>
      <c r="C82" s="98">
        <v>12</v>
      </c>
      <c r="D82" s="16">
        <v>1</v>
      </c>
      <c r="E82" s="16">
        <f t="shared" si="7"/>
        <v>1</v>
      </c>
      <c r="F82" s="8">
        <f t="shared" si="8"/>
        <v>1</v>
      </c>
      <c r="G82" s="88" t="s">
        <v>25</v>
      </c>
      <c r="H82" s="57"/>
      <c r="I82" s="15" t="s">
        <v>367</v>
      </c>
    </row>
    <row r="83" spans="1:9" ht="17.25" thickBot="1" x14ac:dyDescent="0.3">
      <c r="A83" s="119" t="s">
        <v>331</v>
      </c>
      <c r="B83" s="80" t="s">
        <v>95</v>
      </c>
      <c r="C83" s="95" t="s">
        <v>341</v>
      </c>
      <c r="D83" s="64">
        <v>12</v>
      </c>
      <c r="E83" s="64">
        <f t="shared" si="7"/>
        <v>2</v>
      </c>
      <c r="F83" s="91">
        <f t="shared" si="8"/>
        <v>1</v>
      </c>
      <c r="G83" s="85" t="s">
        <v>96</v>
      </c>
      <c r="H83" s="99" t="s">
        <v>393</v>
      </c>
      <c r="I83" s="41" t="s">
        <v>367</v>
      </c>
    </row>
    <row r="84" spans="1:9" ht="17.25" thickBot="1" x14ac:dyDescent="0.3">
      <c r="A84" s="144" t="s">
        <v>332</v>
      </c>
      <c r="B84" s="83" t="s">
        <v>97</v>
      </c>
      <c r="C84" s="65" t="s">
        <v>311</v>
      </c>
      <c r="D84" s="66">
        <v>16</v>
      </c>
      <c r="E84" s="66">
        <f t="shared" si="7"/>
        <v>2</v>
      </c>
      <c r="F84" s="66">
        <f t="shared" si="8"/>
        <v>1</v>
      </c>
      <c r="G84" s="39" t="s">
        <v>98</v>
      </c>
      <c r="H84" s="49" t="s">
        <v>393</v>
      </c>
      <c r="I84" s="42" t="s">
        <v>368</v>
      </c>
    </row>
    <row r="85" spans="1:9" ht="31.5" x14ac:dyDescent="0.25">
      <c r="A85" s="137" t="s">
        <v>333</v>
      </c>
      <c r="B85" s="7" t="s">
        <v>99</v>
      </c>
      <c r="C85" s="61" t="s">
        <v>340</v>
      </c>
      <c r="D85" s="8">
        <v>8</v>
      </c>
      <c r="E85" s="8">
        <f t="shared" si="7"/>
        <v>1</v>
      </c>
      <c r="F85" s="8">
        <f t="shared" si="8"/>
        <v>1</v>
      </c>
      <c r="G85" s="15" t="s">
        <v>100</v>
      </c>
      <c r="H85" s="50" t="s">
        <v>389</v>
      </c>
      <c r="I85" s="15" t="s">
        <v>369</v>
      </c>
    </row>
    <row r="86" spans="1:9" x14ac:dyDescent="0.25">
      <c r="A86" s="117" t="s">
        <v>333</v>
      </c>
      <c r="B86" s="29" t="s">
        <v>26</v>
      </c>
      <c r="C86" s="94" t="s">
        <v>342</v>
      </c>
      <c r="D86" s="16">
        <v>3</v>
      </c>
      <c r="E86" s="16">
        <f t="shared" si="7"/>
        <v>1</v>
      </c>
      <c r="F86" s="16">
        <f t="shared" si="8"/>
        <v>1</v>
      </c>
      <c r="G86" s="19" t="s">
        <v>26</v>
      </c>
      <c r="H86" s="57"/>
      <c r="I86" s="15" t="s">
        <v>369</v>
      </c>
    </row>
    <row r="87" spans="1:9" x14ac:dyDescent="0.25">
      <c r="A87" s="117" t="s">
        <v>333</v>
      </c>
      <c r="B87" s="29" t="s">
        <v>101</v>
      </c>
      <c r="C87" s="98">
        <v>4</v>
      </c>
      <c r="D87" s="16">
        <v>1</v>
      </c>
      <c r="E87" s="16">
        <f t="shared" si="7"/>
        <v>1</v>
      </c>
      <c r="F87" s="16">
        <f t="shared" si="8"/>
        <v>1</v>
      </c>
      <c r="G87" s="19" t="s">
        <v>102</v>
      </c>
      <c r="H87" s="57" t="s">
        <v>389</v>
      </c>
      <c r="I87" s="15" t="s">
        <v>369</v>
      </c>
    </row>
    <row r="88" spans="1:9" ht="17.25" thickBot="1" x14ac:dyDescent="0.3">
      <c r="A88" s="119" t="s">
        <v>333</v>
      </c>
      <c r="B88" s="37" t="s">
        <v>103</v>
      </c>
      <c r="C88" s="95" t="s">
        <v>317</v>
      </c>
      <c r="D88" s="64">
        <v>4</v>
      </c>
      <c r="E88" s="64">
        <f t="shared" si="7"/>
        <v>1</v>
      </c>
      <c r="F88" s="64">
        <f t="shared" si="8"/>
        <v>1</v>
      </c>
      <c r="G88" s="46" t="s">
        <v>104</v>
      </c>
      <c r="H88" s="99" t="s">
        <v>389</v>
      </c>
      <c r="I88" s="46" t="s">
        <v>369</v>
      </c>
    </row>
    <row r="89" spans="1:9" ht="17.25" thickBot="1" x14ac:dyDescent="0.3">
      <c r="A89" s="144">
        <v>410</v>
      </c>
      <c r="B89" s="40" t="s">
        <v>26</v>
      </c>
      <c r="C89" s="65" t="s">
        <v>311</v>
      </c>
      <c r="D89" s="66">
        <v>16</v>
      </c>
      <c r="E89" s="66">
        <f t="shared" si="7"/>
        <v>2</v>
      </c>
      <c r="F89" s="66">
        <f t="shared" si="8"/>
        <v>1</v>
      </c>
      <c r="G89" s="42" t="s">
        <v>26</v>
      </c>
      <c r="H89" s="49"/>
      <c r="I89" s="42" t="s">
        <v>370</v>
      </c>
    </row>
    <row r="90" spans="1:9" ht="78.75" x14ac:dyDescent="0.25">
      <c r="A90" s="137">
        <v>411</v>
      </c>
      <c r="B90" s="7" t="s">
        <v>105</v>
      </c>
      <c r="C90" s="62">
        <v>15</v>
      </c>
      <c r="D90" s="8">
        <v>1</v>
      </c>
      <c r="E90" s="8">
        <f t="shared" si="7"/>
        <v>1</v>
      </c>
      <c r="F90" s="8">
        <f t="shared" si="8"/>
        <v>1</v>
      </c>
      <c r="G90" s="15" t="s">
        <v>106</v>
      </c>
      <c r="H90" s="50" t="s">
        <v>386</v>
      </c>
      <c r="I90" s="15" t="s">
        <v>371</v>
      </c>
    </row>
    <row r="91" spans="1:9" x14ac:dyDescent="0.25">
      <c r="A91" s="117">
        <v>411</v>
      </c>
      <c r="B91" s="29" t="s">
        <v>107</v>
      </c>
      <c r="C91" s="98">
        <v>14</v>
      </c>
      <c r="D91" s="16">
        <v>1</v>
      </c>
      <c r="E91" s="16">
        <f t="shared" si="7"/>
        <v>1</v>
      </c>
      <c r="F91" s="16">
        <f t="shared" si="8"/>
        <v>1</v>
      </c>
      <c r="G91" s="19" t="s">
        <v>658</v>
      </c>
      <c r="H91" s="57" t="s">
        <v>386</v>
      </c>
      <c r="I91" s="15" t="s">
        <v>371</v>
      </c>
    </row>
    <row r="92" spans="1:9" ht="78.75" x14ac:dyDescent="0.25">
      <c r="A92" s="117">
        <v>411</v>
      </c>
      <c r="B92" s="29" t="s">
        <v>108</v>
      </c>
      <c r="C92" s="94" t="s">
        <v>343</v>
      </c>
      <c r="D92" s="16">
        <v>2</v>
      </c>
      <c r="E92" s="16">
        <f t="shared" si="7"/>
        <v>1</v>
      </c>
      <c r="F92" s="16">
        <f t="shared" si="8"/>
        <v>1</v>
      </c>
      <c r="G92" s="19" t="s">
        <v>109</v>
      </c>
      <c r="H92" s="57" t="s">
        <v>386</v>
      </c>
      <c r="I92" s="15" t="s">
        <v>371</v>
      </c>
    </row>
    <row r="93" spans="1:9" x14ac:dyDescent="0.25">
      <c r="A93" s="117">
        <v>411</v>
      </c>
      <c r="B93" s="29" t="s">
        <v>110</v>
      </c>
      <c r="C93" s="98">
        <v>11</v>
      </c>
      <c r="D93" s="16">
        <v>1</v>
      </c>
      <c r="E93" s="16">
        <f t="shared" si="7"/>
        <v>1</v>
      </c>
      <c r="F93" s="16">
        <f t="shared" si="8"/>
        <v>1</v>
      </c>
      <c r="G93" s="19" t="s">
        <v>659</v>
      </c>
      <c r="H93" s="57" t="s">
        <v>386</v>
      </c>
      <c r="I93" s="15" t="s">
        <v>371</v>
      </c>
    </row>
    <row r="94" spans="1:9" ht="78.75" x14ac:dyDescent="0.25">
      <c r="A94" s="117">
        <v>411</v>
      </c>
      <c r="B94" s="29" t="s">
        <v>111</v>
      </c>
      <c r="C94" s="94" t="s">
        <v>344</v>
      </c>
      <c r="D94" s="16">
        <v>2</v>
      </c>
      <c r="E94" s="16">
        <f t="shared" si="7"/>
        <v>1</v>
      </c>
      <c r="F94" s="16">
        <f t="shared" si="8"/>
        <v>1</v>
      </c>
      <c r="G94" s="19" t="s">
        <v>112</v>
      </c>
      <c r="H94" s="57" t="s">
        <v>386</v>
      </c>
      <c r="I94" s="15" t="s">
        <v>371</v>
      </c>
    </row>
    <row r="95" spans="1:9" x14ac:dyDescent="0.25">
      <c r="A95" s="117">
        <v>411</v>
      </c>
      <c r="B95" s="29" t="s">
        <v>113</v>
      </c>
      <c r="C95" s="98">
        <v>8</v>
      </c>
      <c r="D95" s="16">
        <v>1</v>
      </c>
      <c r="E95" s="16">
        <f t="shared" si="7"/>
        <v>1</v>
      </c>
      <c r="F95" s="16">
        <f t="shared" si="8"/>
        <v>1</v>
      </c>
      <c r="G95" s="19" t="s">
        <v>660</v>
      </c>
      <c r="H95" s="57" t="s">
        <v>386</v>
      </c>
      <c r="I95" s="15" t="s">
        <v>371</v>
      </c>
    </row>
    <row r="96" spans="1:9" ht="78.75" x14ac:dyDescent="0.25">
      <c r="A96" s="117">
        <v>411</v>
      </c>
      <c r="B96" s="29" t="s">
        <v>114</v>
      </c>
      <c r="C96" s="94" t="s">
        <v>321</v>
      </c>
      <c r="D96" s="16">
        <v>2</v>
      </c>
      <c r="E96" s="16">
        <f t="shared" si="7"/>
        <v>1</v>
      </c>
      <c r="F96" s="16">
        <f t="shared" si="8"/>
        <v>1</v>
      </c>
      <c r="G96" s="19" t="s">
        <v>115</v>
      </c>
      <c r="H96" s="57" t="s">
        <v>386</v>
      </c>
      <c r="I96" s="15" t="s">
        <v>371</v>
      </c>
    </row>
    <row r="97" spans="1:9" x14ac:dyDescent="0.25">
      <c r="A97" s="117">
        <v>411</v>
      </c>
      <c r="B97" s="29" t="s">
        <v>116</v>
      </c>
      <c r="C97" s="98">
        <v>5</v>
      </c>
      <c r="D97" s="16">
        <v>1</v>
      </c>
      <c r="E97" s="16">
        <f t="shared" si="7"/>
        <v>1</v>
      </c>
      <c r="F97" s="16">
        <f t="shared" si="8"/>
        <v>1</v>
      </c>
      <c r="G97" s="19" t="s">
        <v>661</v>
      </c>
      <c r="H97" s="57" t="s">
        <v>386</v>
      </c>
      <c r="I97" s="15" t="s">
        <v>371</v>
      </c>
    </row>
    <row r="98" spans="1:9" ht="78.75" x14ac:dyDescent="0.25">
      <c r="A98" s="117">
        <v>411</v>
      </c>
      <c r="B98" s="29" t="s">
        <v>117</v>
      </c>
      <c r="C98" s="94" t="s">
        <v>345</v>
      </c>
      <c r="D98" s="16">
        <v>2</v>
      </c>
      <c r="E98" s="16">
        <f t="shared" si="7"/>
        <v>1</v>
      </c>
      <c r="F98" s="16">
        <f t="shared" si="8"/>
        <v>1</v>
      </c>
      <c r="G98" s="19" t="s">
        <v>118</v>
      </c>
      <c r="H98" s="57" t="s">
        <v>386</v>
      </c>
      <c r="I98" s="15" t="s">
        <v>371</v>
      </c>
    </row>
    <row r="99" spans="1:9" x14ac:dyDescent="0.25">
      <c r="A99" s="117">
        <v>411</v>
      </c>
      <c r="B99" s="29" t="s">
        <v>119</v>
      </c>
      <c r="C99" s="98">
        <v>2</v>
      </c>
      <c r="D99" s="16">
        <v>1</v>
      </c>
      <c r="E99" s="16">
        <f t="shared" si="7"/>
        <v>1</v>
      </c>
      <c r="F99" s="16">
        <f t="shared" si="8"/>
        <v>1</v>
      </c>
      <c r="G99" s="19" t="s">
        <v>662</v>
      </c>
      <c r="H99" s="57" t="s">
        <v>386</v>
      </c>
      <c r="I99" s="15" t="s">
        <v>371</v>
      </c>
    </row>
    <row r="100" spans="1:9" ht="79.5" thickBot="1" x14ac:dyDescent="0.3">
      <c r="A100" s="119">
        <v>411</v>
      </c>
      <c r="B100" s="37" t="s">
        <v>120</v>
      </c>
      <c r="C100" s="95" t="s">
        <v>346</v>
      </c>
      <c r="D100" s="64">
        <v>2</v>
      </c>
      <c r="E100" s="64">
        <f t="shared" si="7"/>
        <v>1</v>
      </c>
      <c r="F100" s="64">
        <f t="shared" si="8"/>
        <v>1</v>
      </c>
      <c r="G100" s="46" t="s">
        <v>121</v>
      </c>
      <c r="H100" s="99" t="s">
        <v>386</v>
      </c>
      <c r="I100" s="46" t="s">
        <v>371</v>
      </c>
    </row>
    <row r="101" spans="1:9" ht="78.75" x14ac:dyDescent="0.25">
      <c r="A101" s="137">
        <v>412</v>
      </c>
      <c r="B101" s="7" t="s">
        <v>122</v>
      </c>
      <c r="C101" s="61" t="s">
        <v>347</v>
      </c>
      <c r="D101" s="8">
        <v>2</v>
      </c>
      <c r="E101" s="8">
        <f t="shared" si="7"/>
        <v>1</v>
      </c>
      <c r="F101" s="8">
        <f t="shared" si="8"/>
        <v>1</v>
      </c>
      <c r="G101" s="15" t="s">
        <v>123</v>
      </c>
      <c r="H101" s="50" t="s">
        <v>386</v>
      </c>
      <c r="I101" s="15" t="s">
        <v>372</v>
      </c>
    </row>
    <row r="102" spans="1:9" x14ac:dyDescent="0.25">
      <c r="A102" s="117">
        <v>412</v>
      </c>
      <c r="B102" s="29" t="s">
        <v>124</v>
      </c>
      <c r="C102" s="98">
        <v>13</v>
      </c>
      <c r="D102" s="16">
        <v>1</v>
      </c>
      <c r="E102" s="16">
        <f t="shared" si="7"/>
        <v>1</v>
      </c>
      <c r="F102" s="16">
        <f t="shared" si="8"/>
        <v>1</v>
      </c>
      <c r="G102" s="19" t="s">
        <v>663</v>
      </c>
      <c r="H102" s="57" t="s">
        <v>386</v>
      </c>
      <c r="I102" s="15" t="s">
        <v>372</v>
      </c>
    </row>
    <row r="103" spans="1:9" ht="78.75" x14ac:dyDescent="0.25">
      <c r="A103" s="117">
        <v>412</v>
      </c>
      <c r="B103" s="29" t="s">
        <v>125</v>
      </c>
      <c r="C103" s="94" t="s">
        <v>348</v>
      </c>
      <c r="D103" s="16">
        <v>2</v>
      </c>
      <c r="E103" s="16">
        <f t="shared" si="7"/>
        <v>1</v>
      </c>
      <c r="F103" s="16">
        <f t="shared" si="8"/>
        <v>1</v>
      </c>
      <c r="G103" s="19" t="s">
        <v>126</v>
      </c>
      <c r="H103" s="57" t="s">
        <v>386</v>
      </c>
      <c r="I103" s="15" t="s">
        <v>372</v>
      </c>
    </row>
    <row r="104" spans="1:9" x14ac:dyDescent="0.25">
      <c r="A104" s="117">
        <v>412</v>
      </c>
      <c r="B104" s="29" t="s">
        <v>127</v>
      </c>
      <c r="C104" s="98">
        <v>10</v>
      </c>
      <c r="D104" s="16">
        <v>1</v>
      </c>
      <c r="E104" s="16">
        <f t="shared" si="7"/>
        <v>1</v>
      </c>
      <c r="F104" s="16">
        <f t="shared" si="8"/>
        <v>1</v>
      </c>
      <c r="G104" s="19" t="s">
        <v>664</v>
      </c>
      <c r="H104" s="57" t="s">
        <v>386</v>
      </c>
      <c r="I104" s="15" t="s">
        <v>372</v>
      </c>
    </row>
    <row r="105" spans="1:9" ht="78.75" x14ac:dyDescent="0.25">
      <c r="A105" s="117">
        <v>412</v>
      </c>
      <c r="B105" s="29" t="s">
        <v>128</v>
      </c>
      <c r="C105" s="94" t="s">
        <v>320</v>
      </c>
      <c r="D105" s="16">
        <v>2</v>
      </c>
      <c r="E105" s="16">
        <f t="shared" si="7"/>
        <v>1</v>
      </c>
      <c r="F105" s="16">
        <f t="shared" si="8"/>
        <v>1</v>
      </c>
      <c r="G105" s="19" t="s">
        <v>129</v>
      </c>
      <c r="H105" s="57" t="s">
        <v>386</v>
      </c>
      <c r="I105" s="15" t="s">
        <v>372</v>
      </c>
    </row>
    <row r="106" spans="1:9" x14ac:dyDescent="0.25">
      <c r="A106" s="117">
        <v>412</v>
      </c>
      <c r="B106" s="29" t="s">
        <v>130</v>
      </c>
      <c r="C106" s="98">
        <v>7</v>
      </c>
      <c r="D106" s="16">
        <v>1</v>
      </c>
      <c r="E106" s="16">
        <f t="shared" si="7"/>
        <v>1</v>
      </c>
      <c r="F106" s="16">
        <f t="shared" si="8"/>
        <v>1</v>
      </c>
      <c r="G106" s="19" t="s">
        <v>665</v>
      </c>
      <c r="H106" s="57" t="s">
        <v>386</v>
      </c>
      <c r="I106" s="15" t="s">
        <v>372</v>
      </c>
    </row>
    <row r="107" spans="1:9" ht="78.75" x14ac:dyDescent="0.25">
      <c r="A107" s="117">
        <v>412</v>
      </c>
      <c r="B107" s="29" t="s">
        <v>131</v>
      </c>
      <c r="C107" s="94" t="s">
        <v>349</v>
      </c>
      <c r="D107" s="16">
        <v>2</v>
      </c>
      <c r="E107" s="16">
        <f t="shared" si="7"/>
        <v>1</v>
      </c>
      <c r="F107" s="16">
        <f t="shared" si="8"/>
        <v>1</v>
      </c>
      <c r="G107" s="19" t="s">
        <v>132</v>
      </c>
      <c r="H107" s="57" t="s">
        <v>386</v>
      </c>
      <c r="I107" s="15" t="s">
        <v>372</v>
      </c>
    </row>
    <row r="108" spans="1:9" x14ac:dyDescent="0.25">
      <c r="A108" s="117">
        <v>412</v>
      </c>
      <c r="B108" s="29" t="s">
        <v>133</v>
      </c>
      <c r="C108" s="98">
        <v>4</v>
      </c>
      <c r="D108" s="16">
        <v>1</v>
      </c>
      <c r="E108" s="16">
        <f t="shared" ref="E108:E146" si="17">QUOTIENT(D108+7,8)</f>
        <v>1</v>
      </c>
      <c r="F108" s="16">
        <f t="shared" ref="F108:F146" si="18">QUOTIENT(E108+1,2)</f>
        <v>1</v>
      </c>
      <c r="G108" s="19" t="s">
        <v>666</v>
      </c>
      <c r="H108" s="57" t="s">
        <v>386</v>
      </c>
      <c r="I108" s="15" t="s">
        <v>372</v>
      </c>
    </row>
    <row r="109" spans="1:9" ht="78.75" x14ac:dyDescent="0.25">
      <c r="A109" s="117">
        <v>412</v>
      </c>
      <c r="B109" s="29" t="s">
        <v>134</v>
      </c>
      <c r="C109" s="94" t="s">
        <v>350</v>
      </c>
      <c r="D109" s="16">
        <v>2</v>
      </c>
      <c r="E109" s="16">
        <f t="shared" si="17"/>
        <v>1</v>
      </c>
      <c r="F109" s="16">
        <f t="shared" si="18"/>
        <v>1</v>
      </c>
      <c r="G109" s="19" t="s">
        <v>135</v>
      </c>
      <c r="H109" s="57" t="s">
        <v>386</v>
      </c>
      <c r="I109" s="15" t="s">
        <v>372</v>
      </c>
    </row>
    <row r="110" spans="1:9" x14ac:dyDescent="0.25">
      <c r="A110" s="117">
        <v>412</v>
      </c>
      <c r="B110" s="29" t="s">
        <v>136</v>
      </c>
      <c r="C110" s="98">
        <v>1</v>
      </c>
      <c r="D110" s="16">
        <v>1</v>
      </c>
      <c r="E110" s="16">
        <f t="shared" si="17"/>
        <v>1</v>
      </c>
      <c r="F110" s="16">
        <f t="shared" si="18"/>
        <v>1</v>
      </c>
      <c r="G110" s="19" t="s">
        <v>667</v>
      </c>
      <c r="H110" s="57" t="s">
        <v>386</v>
      </c>
      <c r="I110" s="15" t="s">
        <v>372</v>
      </c>
    </row>
    <row r="111" spans="1:9" ht="17.25" thickBot="1" x14ac:dyDescent="0.3">
      <c r="A111" s="119">
        <v>412</v>
      </c>
      <c r="B111" s="37" t="s">
        <v>137</v>
      </c>
      <c r="C111" s="93">
        <v>0</v>
      </c>
      <c r="D111" s="64">
        <v>1</v>
      </c>
      <c r="E111" s="64">
        <f t="shared" si="17"/>
        <v>1</v>
      </c>
      <c r="F111" s="64">
        <f t="shared" si="18"/>
        <v>1</v>
      </c>
      <c r="G111" s="46" t="s">
        <v>138</v>
      </c>
      <c r="H111" s="99" t="s">
        <v>386</v>
      </c>
      <c r="I111" s="46" t="s">
        <v>372</v>
      </c>
    </row>
    <row r="112" spans="1:9" x14ac:dyDescent="0.25">
      <c r="A112" s="137">
        <v>413</v>
      </c>
      <c r="B112" s="7" t="s">
        <v>139</v>
      </c>
      <c r="C112" s="61" t="s">
        <v>351</v>
      </c>
      <c r="D112" s="8">
        <v>3</v>
      </c>
      <c r="E112" s="8">
        <f t="shared" si="17"/>
        <v>1</v>
      </c>
      <c r="F112" s="8">
        <f t="shared" si="18"/>
        <v>1</v>
      </c>
      <c r="G112" s="15" t="s">
        <v>140</v>
      </c>
      <c r="H112" s="50" t="s">
        <v>386</v>
      </c>
      <c r="I112" s="15" t="s">
        <v>373</v>
      </c>
    </row>
    <row r="113" spans="1:9" x14ac:dyDescent="0.25">
      <c r="A113" s="117">
        <v>413</v>
      </c>
      <c r="B113" s="29" t="s">
        <v>26</v>
      </c>
      <c r="C113" s="94" t="s">
        <v>352</v>
      </c>
      <c r="D113" s="16">
        <v>3</v>
      </c>
      <c r="E113" s="16">
        <f t="shared" si="17"/>
        <v>1</v>
      </c>
      <c r="F113" s="16">
        <f t="shared" si="18"/>
        <v>1</v>
      </c>
      <c r="G113" s="19" t="s">
        <v>26</v>
      </c>
      <c r="H113" s="57"/>
      <c r="I113" s="15" t="s">
        <v>373</v>
      </c>
    </row>
    <row r="114" spans="1:9" x14ac:dyDescent="0.25">
      <c r="A114" s="117">
        <v>413</v>
      </c>
      <c r="B114" s="29" t="s">
        <v>141</v>
      </c>
      <c r="C114" s="98">
        <v>9</v>
      </c>
      <c r="D114" s="16">
        <v>1</v>
      </c>
      <c r="E114" s="16">
        <f t="shared" si="17"/>
        <v>1</v>
      </c>
      <c r="F114" s="16">
        <f t="shared" si="18"/>
        <v>1</v>
      </c>
      <c r="G114" s="19" t="s">
        <v>668</v>
      </c>
      <c r="H114" s="57" t="s">
        <v>386</v>
      </c>
      <c r="I114" s="15" t="s">
        <v>373</v>
      </c>
    </row>
    <row r="115" spans="1:9" x14ac:dyDescent="0.25">
      <c r="A115" s="117">
        <v>413</v>
      </c>
      <c r="B115" s="29" t="s">
        <v>142</v>
      </c>
      <c r="C115" s="98">
        <v>8</v>
      </c>
      <c r="D115" s="16">
        <v>1</v>
      </c>
      <c r="E115" s="16">
        <f t="shared" si="17"/>
        <v>1</v>
      </c>
      <c r="F115" s="16">
        <f t="shared" si="18"/>
        <v>1</v>
      </c>
      <c r="G115" s="19" t="s">
        <v>143</v>
      </c>
      <c r="H115" s="57" t="s">
        <v>386</v>
      </c>
      <c r="I115" s="15" t="s">
        <v>373</v>
      </c>
    </row>
    <row r="116" spans="1:9" x14ac:dyDescent="0.25">
      <c r="A116" s="117">
        <v>413</v>
      </c>
      <c r="B116" s="29" t="s">
        <v>144</v>
      </c>
      <c r="C116" s="98">
        <v>7</v>
      </c>
      <c r="D116" s="16">
        <v>1</v>
      </c>
      <c r="E116" s="16">
        <f t="shared" si="17"/>
        <v>1</v>
      </c>
      <c r="F116" s="16">
        <f t="shared" si="18"/>
        <v>1</v>
      </c>
      <c r="G116" s="19" t="s">
        <v>669</v>
      </c>
      <c r="H116" s="57" t="s">
        <v>386</v>
      </c>
      <c r="I116" s="15" t="s">
        <v>373</v>
      </c>
    </row>
    <row r="117" spans="1:9" x14ac:dyDescent="0.25">
      <c r="A117" s="117">
        <v>413</v>
      </c>
      <c r="B117" s="29" t="s">
        <v>145</v>
      </c>
      <c r="C117" s="98">
        <v>6</v>
      </c>
      <c r="D117" s="16">
        <v>1</v>
      </c>
      <c r="E117" s="16">
        <f t="shared" si="17"/>
        <v>1</v>
      </c>
      <c r="F117" s="16">
        <f t="shared" si="18"/>
        <v>1</v>
      </c>
      <c r="G117" s="19" t="s">
        <v>670</v>
      </c>
      <c r="H117" s="57" t="s">
        <v>386</v>
      </c>
      <c r="I117" s="15" t="s">
        <v>373</v>
      </c>
    </row>
    <row r="118" spans="1:9" ht="78.75" x14ac:dyDescent="0.25">
      <c r="A118" s="117">
        <v>413</v>
      </c>
      <c r="B118" s="29" t="s">
        <v>146</v>
      </c>
      <c r="C118" s="94" t="s">
        <v>353</v>
      </c>
      <c r="D118" s="16">
        <v>2</v>
      </c>
      <c r="E118" s="16">
        <f t="shared" si="17"/>
        <v>1</v>
      </c>
      <c r="F118" s="16">
        <f t="shared" si="18"/>
        <v>1</v>
      </c>
      <c r="G118" s="19" t="s">
        <v>147</v>
      </c>
      <c r="H118" s="57" t="s">
        <v>386</v>
      </c>
      <c r="I118" s="15" t="s">
        <v>373</v>
      </c>
    </row>
    <row r="119" spans="1:9" x14ac:dyDescent="0.25">
      <c r="A119" s="117">
        <v>413</v>
      </c>
      <c r="B119" s="29" t="s">
        <v>148</v>
      </c>
      <c r="C119" s="98">
        <v>3</v>
      </c>
      <c r="D119" s="16">
        <v>1</v>
      </c>
      <c r="E119" s="16">
        <f t="shared" si="17"/>
        <v>1</v>
      </c>
      <c r="F119" s="16">
        <f t="shared" si="18"/>
        <v>1</v>
      </c>
      <c r="G119" s="19" t="s">
        <v>671</v>
      </c>
      <c r="H119" s="57" t="s">
        <v>386</v>
      </c>
      <c r="I119" s="15" t="s">
        <v>373</v>
      </c>
    </row>
    <row r="120" spans="1:9" ht="78.75" x14ac:dyDescent="0.25">
      <c r="A120" s="117">
        <v>413</v>
      </c>
      <c r="B120" s="29" t="s">
        <v>149</v>
      </c>
      <c r="C120" s="94" t="s">
        <v>354</v>
      </c>
      <c r="D120" s="16">
        <v>2</v>
      </c>
      <c r="E120" s="16">
        <f t="shared" si="17"/>
        <v>1</v>
      </c>
      <c r="F120" s="16">
        <f t="shared" si="18"/>
        <v>1</v>
      </c>
      <c r="G120" s="19" t="s">
        <v>150</v>
      </c>
      <c r="H120" s="57" t="s">
        <v>386</v>
      </c>
      <c r="I120" s="15" t="s">
        <v>373</v>
      </c>
    </row>
    <row r="121" spans="1:9" ht="17.25" thickBot="1" x14ac:dyDescent="0.3">
      <c r="A121" s="119">
        <v>413</v>
      </c>
      <c r="B121" s="37" t="s">
        <v>151</v>
      </c>
      <c r="C121" s="93">
        <v>0</v>
      </c>
      <c r="D121" s="64">
        <v>1</v>
      </c>
      <c r="E121" s="64">
        <f t="shared" si="17"/>
        <v>1</v>
      </c>
      <c r="F121" s="64">
        <f t="shared" si="18"/>
        <v>1</v>
      </c>
      <c r="G121" s="46" t="s">
        <v>672</v>
      </c>
      <c r="H121" s="99" t="s">
        <v>386</v>
      </c>
      <c r="I121" s="46" t="s">
        <v>373</v>
      </c>
    </row>
    <row r="122" spans="1:9" ht="47.25" x14ac:dyDescent="0.25">
      <c r="A122" s="137">
        <v>414</v>
      </c>
      <c r="B122" s="7" t="s">
        <v>607</v>
      </c>
      <c r="C122" s="62">
        <v>15</v>
      </c>
      <c r="D122" s="8">
        <v>1</v>
      </c>
      <c r="E122" s="8">
        <f t="shared" si="17"/>
        <v>1</v>
      </c>
      <c r="F122" s="8">
        <f t="shared" si="18"/>
        <v>1</v>
      </c>
      <c r="G122" s="15" t="s">
        <v>673</v>
      </c>
      <c r="H122" s="50" t="s">
        <v>393</v>
      </c>
      <c r="I122" s="15" t="s">
        <v>374</v>
      </c>
    </row>
    <row r="123" spans="1:9" x14ac:dyDescent="0.25">
      <c r="A123" s="117">
        <v>414</v>
      </c>
      <c r="B123" s="29" t="s">
        <v>152</v>
      </c>
      <c r="C123" s="98">
        <v>14</v>
      </c>
      <c r="D123" s="16">
        <v>1</v>
      </c>
      <c r="E123" s="16">
        <f t="shared" si="17"/>
        <v>1</v>
      </c>
      <c r="F123" s="16">
        <f t="shared" si="18"/>
        <v>1</v>
      </c>
      <c r="G123" s="19" t="s">
        <v>153</v>
      </c>
      <c r="H123" s="57" t="s">
        <v>393</v>
      </c>
      <c r="I123" s="15" t="s">
        <v>374</v>
      </c>
    </row>
    <row r="124" spans="1:9" x14ac:dyDescent="0.25">
      <c r="A124" s="117">
        <v>414</v>
      </c>
      <c r="B124" s="29" t="s">
        <v>154</v>
      </c>
      <c r="C124" s="98">
        <v>13</v>
      </c>
      <c r="D124" s="16">
        <v>1</v>
      </c>
      <c r="E124" s="16">
        <f t="shared" si="17"/>
        <v>1</v>
      </c>
      <c r="F124" s="16">
        <f t="shared" si="18"/>
        <v>1</v>
      </c>
      <c r="G124" s="19" t="s">
        <v>155</v>
      </c>
      <c r="H124" s="57" t="s">
        <v>393</v>
      </c>
      <c r="I124" s="15" t="s">
        <v>374</v>
      </c>
    </row>
    <row r="125" spans="1:9" x14ac:dyDescent="0.25">
      <c r="A125" s="117">
        <v>414</v>
      </c>
      <c r="B125" s="29" t="s">
        <v>26</v>
      </c>
      <c r="C125" s="98">
        <v>12</v>
      </c>
      <c r="D125" s="16">
        <v>1</v>
      </c>
      <c r="E125" s="16">
        <f t="shared" si="17"/>
        <v>1</v>
      </c>
      <c r="F125" s="16">
        <f t="shared" si="18"/>
        <v>1</v>
      </c>
      <c r="G125" s="19" t="s">
        <v>25</v>
      </c>
      <c r="H125" s="57"/>
      <c r="I125" s="15" t="s">
        <v>374</v>
      </c>
    </row>
    <row r="126" spans="1:9" ht="17.25" thickBot="1" x14ac:dyDescent="0.3">
      <c r="A126" s="119">
        <v>414</v>
      </c>
      <c r="B126" s="37" t="s">
        <v>156</v>
      </c>
      <c r="C126" s="95" t="s">
        <v>341</v>
      </c>
      <c r="D126" s="64">
        <v>12</v>
      </c>
      <c r="E126" s="64">
        <f t="shared" si="17"/>
        <v>2</v>
      </c>
      <c r="F126" s="64">
        <f t="shared" si="18"/>
        <v>1</v>
      </c>
      <c r="G126" s="46" t="s">
        <v>157</v>
      </c>
      <c r="H126" s="99" t="s">
        <v>393</v>
      </c>
      <c r="I126" s="46" t="s">
        <v>374</v>
      </c>
    </row>
    <row r="127" spans="1:9" ht="17.25" thickBot="1" x14ac:dyDescent="0.3">
      <c r="A127" s="144">
        <v>415</v>
      </c>
      <c r="B127" s="40" t="s">
        <v>158</v>
      </c>
      <c r="C127" s="65" t="s">
        <v>311</v>
      </c>
      <c r="D127" s="66">
        <v>16</v>
      </c>
      <c r="E127" s="66">
        <f t="shared" si="17"/>
        <v>2</v>
      </c>
      <c r="F127" s="66">
        <f t="shared" si="18"/>
        <v>1</v>
      </c>
      <c r="G127" s="42" t="s">
        <v>159</v>
      </c>
      <c r="H127" s="49" t="s">
        <v>393</v>
      </c>
      <c r="I127" s="42" t="s">
        <v>375</v>
      </c>
    </row>
    <row r="128" spans="1:9" ht="17.25" thickBot="1" x14ac:dyDescent="0.3">
      <c r="A128" s="144">
        <v>416</v>
      </c>
      <c r="B128" s="40" t="s">
        <v>567</v>
      </c>
      <c r="C128" s="65" t="s">
        <v>311</v>
      </c>
      <c r="D128" s="66">
        <v>16</v>
      </c>
      <c r="E128" s="66">
        <f t="shared" si="17"/>
        <v>2</v>
      </c>
      <c r="F128" s="66">
        <f t="shared" si="18"/>
        <v>1</v>
      </c>
      <c r="G128" s="42" t="s">
        <v>567</v>
      </c>
      <c r="H128" s="49" t="s">
        <v>568</v>
      </c>
      <c r="I128" s="42" t="s">
        <v>376</v>
      </c>
    </row>
    <row r="129" spans="1:9" ht="17.25" thickBot="1" x14ac:dyDescent="0.3">
      <c r="A129" s="144">
        <v>417</v>
      </c>
      <c r="B129" s="40" t="s">
        <v>26</v>
      </c>
      <c r="C129" s="65" t="s">
        <v>311</v>
      </c>
      <c r="D129" s="66">
        <v>16</v>
      </c>
      <c r="E129" s="66">
        <f t="shared" si="17"/>
        <v>2</v>
      </c>
      <c r="F129" s="66">
        <f t="shared" si="18"/>
        <v>1</v>
      </c>
      <c r="G129" s="42" t="s">
        <v>26</v>
      </c>
      <c r="H129" s="49" t="s">
        <v>568</v>
      </c>
      <c r="I129" s="42" t="s">
        <v>377</v>
      </c>
    </row>
    <row r="130" spans="1:9" x14ac:dyDescent="0.25">
      <c r="A130" s="137">
        <v>418</v>
      </c>
      <c r="B130" s="7" t="s">
        <v>26</v>
      </c>
      <c r="C130" s="61" t="s">
        <v>324</v>
      </c>
      <c r="D130" s="8">
        <v>5</v>
      </c>
      <c r="E130" s="8">
        <f t="shared" si="17"/>
        <v>1</v>
      </c>
      <c r="F130" s="8">
        <f t="shared" si="18"/>
        <v>1</v>
      </c>
      <c r="G130" s="15" t="s">
        <v>26</v>
      </c>
      <c r="H130" s="50"/>
      <c r="I130" s="15" t="s">
        <v>378</v>
      </c>
    </row>
    <row r="131" spans="1:9" ht="31.5" x14ac:dyDescent="0.25">
      <c r="A131" s="117">
        <v>418</v>
      </c>
      <c r="B131" s="28" t="s">
        <v>160</v>
      </c>
      <c r="C131" s="94" t="s">
        <v>325</v>
      </c>
      <c r="D131" s="16">
        <v>10</v>
      </c>
      <c r="E131" s="16">
        <f t="shared" si="17"/>
        <v>2</v>
      </c>
      <c r="F131" s="16">
        <f t="shared" si="18"/>
        <v>1</v>
      </c>
      <c r="G131" s="19" t="s">
        <v>82</v>
      </c>
      <c r="H131" s="57" t="s">
        <v>391</v>
      </c>
      <c r="I131" s="15" t="s">
        <v>378</v>
      </c>
    </row>
    <row r="132" spans="1:9" ht="48" thickBot="1" x14ac:dyDescent="0.3">
      <c r="A132" s="119">
        <v>418</v>
      </c>
      <c r="B132" s="153" t="s">
        <v>161</v>
      </c>
      <c r="C132" s="93">
        <v>0</v>
      </c>
      <c r="D132" s="64">
        <v>1</v>
      </c>
      <c r="E132" s="64">
        <f t="shared" si="17"/>
        <v>1</v>
      </c>
      <c r="F132" s="64">
        <f t="shared" si="18"/>
        <v>1</v>
      </c>
      <c r="G132" s="46" t="s">
        <v>162</v>
      </c>
      <c r="H132" s="99" t="s">
        <v>391</v>
      </c>
      <c r="I132" s="46" t="s">
        <v>378</v>
      </c>
    </row>
    <row r="133" spans="1:9" x14ac:dyDescent="0.25">
      <c r="A133" s="137">
        <v>419</v>
      </c>
      <c r="B133" s="7" t="s">
        <v>26</v>
      </c>
      <c r="C133" s="61" t="s">
        <v>326</v>
      </c>
      <c r="D133" s="8">
        <v>6</v>
      </c>
      <c r="E133" s="8">
        <f t="shared" si="17"/>
        <v>1</v>
      </c>
      <c r="F133" s="8">
        <f t="shared" si="18"/>
        <v>1</v>
      </c>
      <c r="G133" s="15" t="s">
        <v>26</v>
      </c>
      <c r="H133" s="50"/>
      <c r="I133" s="15" t="s">
        <v>379</v>
      </c>
    </row>
    <row r="134" spans="1:9" ht="48" thickBot="1" x14ac:dyDescent="0.3">
      <c r="A134" s="119">
        <v>419</v>
      </c>
      <c r="B134" s="153" t="s">
        <v>163</v>
      </c>
      <c r="C134" s="95" t="s">
        <v>327</v>
      </c>
      <c r="D134" s="64">
        <v>10</v>
      </c>
      <c r="E134" s="64">
        <f t="shared" si="17"/>
        <v>2</v>
      </c>
      <c r="F134" s="64">
        <f t="shared" si="18"/>
        <v>1</v>
      </c>
      <c r="G134" s="46" t="s">
        <v>674</v>
      </c>
      <c r="H134" s="99" t="s">
        <v>391</v>
      </c>
      <c r="I134" s="46" t="s">
        <v>379</v>
      </c>
    </row>
    <row r="135" spans="1:9" x14ac:dyDescent="0.25">
      <c r="A135" s="137" t="s">
        <v>334</v>
      </c>
      <c r="B135" s="7" t="s">
        <v>26</v>
      </c>
      <c r="C135" s="61" t="s">
        <v>324</v>
      </c>
      <c r="D135" s="8">
        <v>5</v>
      </c>
      <c r="E135" s="8">
        <f t="shared" si="17"/>
        <v>1</v>
      </c>
      <c r="F135" s="8">
        <f t="shared" si="18"/>
        <v>1</v>
      </c>
      <c r="G135" s="15" t="s">
        <v>26</v>
      </c>
      <c r="H135" s="50"/>
      <c r="I135" s="15" t="s">
        <v>380</v>
      </c>
    </row>
    <row r="136" spans="1:9" ht="31.5" x14ac:dyDescent="0.25">
      <c r="A136" s="117" t="s">
        <v>334</v>
      </c>
      <c r="B136" s="160" t="s">
        <v>164</v>
      </c>
      <c r="C136" s="94" t="s">
        <v>325</v>
      </c>
      <c r="D136" s="16">
        <v>10</v>
      </c>
      <c r="E136" s="16">
        <f t="shared" si="17"/>
        <v>2</v>
      </c>
      <c r="F136" s="16">
        <f t="shared" si="18"/>
        <v>1</v>
      </c>
      <c r="G136" s="19" t="s">
        <v>82</v>
      </c>
      <c r="H136" s="57" t="s">
        <v>391</v>
      </c>
      <c r="I136" s="15" t="s">
        <v>380</v>
      </c>
    </row>
    <row r="137" spans="1:9" ht="48" thickBot="1" x14ac:dyDescent="0.3">
      <c r="A137" s="119" t="s">
        <v>334</v>
      </c>
      <c r="B137" s="164" t="s">
        <v>165</v>
      </c>
      <c r="C137" s="93">
        <v>0</v>
      </c>
      <c r="D137" s="64">
        <v>1</v>
      </c>
      <c r="E137" s="64">
        <f t="shared" si="17"/>
        <v>1</v>
      </c>
      <c r="F137" s="64">
        <f t="shared" si="18"/>
        <v>1</v>
      </c>
      <c r="G137" s="46" t="s">
        <v>166</v>
      </c>
      <c r="H137" s="99" t="s">
        <v>391</v>
      </c>
      <c r="I137" s="46" t="s">
        <v>380</v>
      </c>
    </row>
    <row r="138" spans="1:9" x14ac:dyDescent="0.25">
      <c r="A138" s="137" t="s">
        <v>335</v>
      </c>
      <c r="B138" s="7" t="s">
        <v>26</v>
      </c>
      <c r="C138" s="61" t="s">
        <v>326</v>
      </c>
      <c r="D138" s="8">
        <v>6</v>
      </c>
      <c r="E138" s="8">
        <f t="shared" si="17"/>
        <v>1</v>
      </c>
      <c r="F138" s="8">
        <f t="shared" si="18"/>
        <v>1</v>
      </c>
      <c r="G138" s="15" t="s">
        <v>26</v>
      </c>
      <c r="H138" s="50"/>
      <c r="I138" s="15" t="s">
        <v>381</v>
      </c>
    </row>
    <row r="139" spans="1:9" ht="48" thickBot="1" x14ac:dyDescent="0.3">
      <c r="A139" s="119" t="s">
        <v>335</v>
      </c>
      <c r="B139" s="164" t="s">
        <v>167</v>
      </c>
      <c r="C139" s="95" t="s">
        <v>327</v>
      </c>
      <c r="D139" s="64">
        <v>10</v>
      </c>
      <c r="E139" s="64">
        <f t="shared" si="17"/>
        <v>2</v>
      </c>
      <c r="F139" s="64">
        <f t="shared" si="18"/>
        <v>1</v>
      </c>
      <c r="G139" s="46" t="s">
        <v>675</v>
      </c>
      <c r="H139" s="99" t="s">
        <v>391</v>
      </c>
      <c r="I139" s="46" t="s">
        <v>381</v>
      </c>
    </row>
    <row r="140" spans="1:9" x14ac:dyDescent="0.25">
      <c r="A140" s="137" t="s">
        <v>336</v>
      </c>
      <c r="B140" s="7" t="s">
        <v>26</v>
      </c>
      <c r="C140" s="61" t="s">
        <v>324</v>
      </c>
      <c r="D140" s="8">
        <v>5</v>
      </c>
      <c r="E140" s="8">
        <f t="shared" si="17"/>
        <v>1</v>
      </c>
      <c r="F140" s="8">
        <f t="shared" si="18"/>
        <v>1</v>
      </c>
      <c r="G140" s="15" t="s">
        <v>26</v>
      </c>
      <c r="H140" s="50"/>
      <c r="I140" s="15" t="s">
        <v>382</v>
      </c>
    </row>
    <row r="141" spans="1:9" ht="31.5" x14ac:dyDescent="0.25">
      <c r="A141" s="117" t="s">
        <v>336</v>
      </c>
      <c r="B141" s="160" t="s">
        <v>168</v>
      </c>
      <c r="C141" s="94" t="s">
        <v>325</v>
      </c>
      <c r="D141" s="16">
        <v>10</v>
      </c>
      <c r="E141" s="16">
        <f t="shared" si="17"/>
        <v>2</v>
      </c>
      <c r="F141" s="16">
        <f t="shared" si="18"/>
        <v>1</v>
      </c>
      <c r="G141" s="19" t="s">
        <v>82</v>
      </c>
      <c r="H141" s="57" t="s">
        <v>391</v>
      </c>
      <c r="I141" s="15" t="s">
        <v>382</v>
      </c>
    </row>
    <row r="142" spans="1:9" ht="48" thickBot="1" x14ac:dyDescent="0.3">
      <c r="A142" s="119" t="s">
        <v>336</v>
      </c>
      <c r="B142" s="164" t="s">
        <v>169</v>
      </c>
      <c r="C142" s="93">
        <v>0</v>
      </c>
      <c r="D142" s="64">
        <v>1</v>
      </c>
      <c r="E142" s="64">
        <f t="shared" si="17"/>
        <v>1</v>
      </c>
      <c r="F142" s="64">
        <f t="shared" si="18"/>
        <v>1</v>
      </c>
      <c r="G142" s="46" t="s">
        <v>170</v>
      </c>
      <c r="H142" s="99" t="s">
        <v>391</v>
      </c>
      <c r="I142" s="46" t="s">
        <v>382</v>
      </c>
    </row>
    <row r="143" spans="1:9" x14ac:dyDescent="0.25">
      <c r="A143" s="137" t="s">
        <v>337</v>
      </c>
      <c r="B143" s="7" t="s">
        <v>26</v>
      </c>
      <c r="C143" s="61" t="s">
        <v>326</v>
      </c>
      <c r="D143" s="8">
        <v>6</v>
      </c>
      <c r="E143" s="8">
        <f t="shared" si="17"/>
        <v>1</v>
      </c>
      <c r="F143" s="8">
        <f t="shared" si="18"/>
        <v>1</v>
      </c>
      <c r="G143" s="15" t="s">
        <v>26</v>
      </c>
      <c r="H143" s="50"/>
      <c r="I143" s="15" t="s">
        <v>383</v>
      </c>
    </row>
    <row r="144" spans="1:9" ht="48" thickBot="1" x14ac:dyDescent="0.3">
      <c r="A144" s="119" t="s">
        <v>337</v>
      </c>
      <c r="B144" s="164" t="s">
        <v>171</v>
      </c>
      <c r="C144" s="95" t="s">
        <v>327</v>
      </c>
      <c r="D144" s="64">
        <v>10</v>
      </c>
      <c r="E144" s="64">
        <f t="shared" si="17"/>
        <v>2</v>
      </c>
      <c r="F144" s="64">
        <f t="shared" si="18"/>
        <v>1</v>
      </c>
      <c r="G144" s="46" t="s">
        <v>676</v>
      </c>
      <c r="H144" s="99" t="s">
        <v>391</v>
      </c>
      <c r="I144" s="46" t="s">
        <v>383</v>
      </c>
    </row>
    <row r="145" spans="1:9" ht="17.25" thickBot="1" x14ac:dyDescent="0.3">
      <c r="A145" s="144" t="s">
        <v>338</v>
      </c>
      <c r="B145" s="103" t="s">
        <v>26</v>
      </c>
      <c r="C145" s="65" t="s">
        <v>311</v>
      </c>
      <c r="D145" s="66">
        <v>16</v>
      </c>
      <c r="E145" s="66">
        <f t="shared" si="17"/>
        <v>2</v>
      </c>
      <c r="F145" s="66">
        <f t="shared" si="18"/>
        <v>1</v>
      </c>
      <c r="G145" s="104" t="s">
        <v>26</v>
      </c>
      <c r="H145" s="49"/>
      <c r="I145" s="42" t="s">
        <v>384</v>
      </c>
    </row>
    <row r="146" spans="1:9" ht="17.25" thickBot="1" x14ac:dyDescent="0.3">
      <c r="A146" s="111" t="s">
        <v>339</v>
      </c>
      <c r="B146" s="45" t="s">
        <v>26</v>
      </c>
      <c r="C146" s="90" t="s">
        <v>311</v>
      </c>
      <c r="D146" s="91">
        <v>16</v>
      </c>
      <c r="E146" s="91">
        <f t="shared" si="17"/>
        <v>2</v>
      </c>
      <c r="F146" s="91">
        <f t="shared" si="18"/>
        <v>1</v>
      </c>
      <c r="G146" s="41" t="s">
        <v>26</v>
      </c>
      <c r="H146" s="58"/>
      <c r="I146" s="41" t="s">
        <v>385</v>
      </c>
    </row>
    <row r="147" spans="1:9" ht="17.25" thickBot="1" x14ac:dyDescent="0.3">
      <c r="A147" s="113" t="str">
        <f t="shared" ref="A147" si="19">DEC2HEX(HEX2DEC(A146)+F146)</f>
        <v>420</v>
      </c>
      <c r="B147" s="13" t="s">
        <v>22</v>
      </c>
      <c r="C147" s="59"/>
      <c r="D147" s="12">
        <f>SUM(D2:D146)</f>
        <v>512</v>
      </c>
      <c r="E147" s="12">
        <f>QUOTIENT(D147+7,8)</f>
        <v>64</v>
      </c>
      <c r="F147" s="12">
        <f>QUOTIENT(E147+1,2)</f>
        <v>32</v>
      </c>
      <c r="G147" s="12"/>
      <c r="H147" s="14"/>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05D9-6D90-4FBE-9594-B0536F048D82}">
  <dimension ref="A1:I45"/>
  <sheetViews>
    <sheetView workbookViewId="0">
      <pane ySplit="1" topLeftCell="A2" activePane="bottomLeft" state="frozen"/>
      <selection pane="bottomLeft" activeCell="E45" sqref="E45"/>
    </sheetView>
  </sheetViews>
  <sheetFormatPr defaultRowHeight="15.75" x14ac:dyDescent="0.25"/>
  <cols>
    <col min="1" max="1" width="23.75" style="48" customWidth="1"/>
    <col min="2" max="2" width="28.875" style="48" customWidth="1"/>
    <col min="3" max="3" width="6.125" style="48" customWidth="1"/>
    <col min="4" max="4" width="11.25" style="48" customWidth="1"/>
    <col min="5" max="5" width="11.75" style="48" customWidth="1"/>
    <col min="6" max="6" width="12.375" style="48" customWidth="1"/>
    <col min="7" max="7" width="50.875" style="48" customWidth="1"/>
    <col min="8" max="8" width="48.25" style="48" customWidth="1"/>
    <col min="9" max="9" width="31" style="48" customWidth="1"/>
    <col min="10" max="16384" width="9" style="48"/>
  </cols>
  <sheetData>
    <row r="1" spans="1:9" ht="19.5" thickBot="1" x14ac:dyDescent="0.3">
      <c r="A1" s="110" t="s">
        <v>306</v>
      </c>
      <c r="B1" s="110" t="s">
        <v>529</v>
      </c>
      <c r="C1" s="110" t="s">
        <v>308</v>
      </c>
      <c r="D1" s="110" t="s">
        <v>312</v>
      </c>
      <c r="E1" s="110" t="s">
        <v>313</v>
      </c>
      <c r="F1" s="110" t="s">
        <v>314</v>
      </c>
      <c r="G1" s="110" t="s">
        <v>18</v>
      </c>
      <c r="H1" s="110" t="s">
        <v>19</v>
      </c>
      <c r="I1" s="110" t="s">
        <v>318</v>
      </c>
    </row>
    <row r="2" spans="1:9" ht="16.5" thickBot="1" x14ac:dyDescent="0.3">
      <c r="A2" s="138">
        <v>420</v>
      </c>
      <c r="B2" s="155" t="s">
        <v>530</v>
      </c>
      <c r="C2" s="65" t="s">
        <v>311</v>
      </c>
      <c r="D2" s="138">
        <v>16</v>
      </c>
      <c r="E2" s="66">
        <f t="shared" ref="E2:E3" si="0">QUOTIENT(D2+7,8)</f>
        <v>2</v>
      </c>
      <c r="F2" s="66">
        <f t="shared" ref="F2:F3" si="1">QUOTIENT(E2+1,2)</f>
        <v>1</v>
      </c>
      <c r="G2" s="138" t="s">
        <v>532</v>
      </c>
      <c r="H2" s="155" t="s">
        <v>628</v>
      </c>
      <c r="I2" s="138"/>
    </row>
    <row r="3" spans="1:9" ht="16.5" thickBot="1" x14ac:dyDescent="0.3">
      <c r="A3" s="138">
        <v>421</v>
      </c>
      <c r="B3" s="155" t="s">
        <v>531</v>
      </c>
      <c r="C3" s="65" t="s">
        <v>311</v>
      </c>
      <c r="D3" s="138">
        <v>16</v>
      </c>
      <c r="E3" s="66">
        <f t="shared" si="0"/>
        <v>2</v>
      </c>
      <c r="F3" s="66">
        <f t="shared" si="1"/>
        <v>1</v>
      </c>
      <c r="G3" s="138" t="s">
        <v>533</v>
      </c>
      <c r="H3" s="155" t="s">
        <v>629</v>
      </c>
      <c r="I3" s="138"/>
    </row>
    <row r="4" spans="1:9" x14ac:dyDescent="0.25">
      <c r="A4" s="50">
        <v>422</v>
      </c>
      <c r="B4" s="50" t="s">
        <v>581</v>
      </c>
      <c r="C4" s="50">
        <v>0</v>
      </c>
      <c r="D4" s="50">
        <v>1</v>
      </c>
      <c r="E4" s="8">
        <f t="shared" ref="E4" si="2">QUOTIENT(D4+7,8)</f>
        <v>1</v>
      </c>
      <c r="F4" s="8">
        <f t="shared" ref="F4" si="3">QUOTIENT(E4+1,2)</f>
        <v>1</v>
      </c>
      <c r="G4" s="8" t="s">
        <v>25</v>
      </c>
      <c r="H4" s="50"/>
      <c r="I4" s="50" t="s">
        <v>405</v>
      </c>
    </row>
    <row r="5" spans="1:9" ht="60" x14ac:dyDescent="0.25">
      <c r="A5" s="57">
        <v>422</v>
      </c>
      <c r="B5" s="57" t="s">
        <v>172</v>
      </c>
      <c r="C5" s="57">
        <v>1</v>
      </c>
      <c r="D5" s="57">
        <v>1</v>
      </c>
      <c r="E5" s="16">
        <f t="shared" ref="E5" si="4">QUOTIENT(D5+7,8)</f>
        <v>1</v>
      </c>
      <c r="F5" s="16">
        <f t="shared" ref="F5" si="5">QUOTIENT(E5+1,2)</f>
        <v>1</v>
      </c>
      <c r="G5" s="16" t="s">
        <v>396</v>
      </c>
      <c r="H5" s="5" t="s">
        <v>677</v>
      </c>
      <c r="I5" s="57" t="s">
        <v>406</v>
      </c>
    </row>
    <row r="6" spans="1:9" ht="31.5" x14ac:dyDescent="0.25">
      <c r="A6" s="57">
        <v>422</v>
      </c>
      <c r="B6" s="57" t="s">
        <v>173</v>
      </c>
      <c r="C6" s="94" t="s">
        <v>350</v>
      </c>
      <c r="D6" s="57">
        <v>2</v>
      </c>
      <c r="E6" s="16">
        <f t="shared" ref="E6:E17" si="6">QUOTIENT(D6+7,8)</f>
        <v>1</v>
      </c>
      <c r="F6" s="16">
        <f t="shared" ref="F6:F17" si="7">QUOTIENT(E6+1,2)</f>
        <v>1</v>
      </c>
      <c r="G6" s="16" t="s">
        <v>397</v>
      </c>
      <c r="H6" s="5" t="s">
        <v>174</v>
      </c>
      <c r="I6" s="57" t="s">
        <v>407</v>
      </c>
    </row>
    <row r="7" spans="1:9" ht="31.5" x14ac:dyDescent="0.25">
      <c r="A7" s="57">
        <v>422</v>
      </c>
      <c r="B7" s="57" t="s">
        <v>175</v>
      </c>
      <c r="C7" s="57">
        <v>4</v>
      </c>
      <c r="D7" s="57">
        <v>1</v>
      </c>
      <c r="E7" s="16">
        <f t="shared" si="6"/>
        <v>1</v>
      </c>
      <c r="F7" s="16">
        <f t="shared" si="7"/>
        <v>1</v>
      </c>
      <c r="G7" s="16" t="s">
        <v>398</v>
      </c>
      <c r="H7" s="5" t="s">
        <v>174</v>
      </c>
      <c r="I7" s="57" t="s">
        <v>408</v>
      </c>
    </row>
    <row r="8" spans="1:9" ht="47.25" x14ac:dyDescent="0.25">
      <c r="A8" s="57">
        <v>422</v>
      </c>
      <c r="B8" s="57" t="s">
        <v>176</v>
      </c>
      <c r="C8" s="94" t="s">
        <v>349</v>
      </c>
      <c r="D8" s="57">
        <v>2</v>
      </c>
      <c r="E8" s="16">
        <f t="shared" si="6"/>
        <v>1</v>
      </c>
      <c r="F8" s="16">
        <f t="shared" si="7"/>
        <v>1</v>
      </c>
      <c r="G8" s="16" t="s">
        <v>399</v>
      </c>
      <c r="H8" s="5" t="s">
        <v>174</v>
      </c>
      <c r="I8" s="57" t="s">
        <v>409</v>
      </c>
    </row>
    <row r="9" spans="1:9" ht="31.5" x14ac:dyDescent="0.25">
      <c r="A9" s="57">
        <v>422</v>
      </c>
      <c r="B9" s="57" t="s">
        <v>177</v>
      </c>
      <c r="C9" s="57">
        <v>7</v>
      </c>
      <c r="D9" s="57">
        <v>1</v>
      </c>
      <c r="E9" s="16">
        <f t="shared" si="6"/>
        <v>1</v>
      </c>
      <c r="F9" s="16">
        <f t="shared" si="7"/>
        <v>1</v>
      </c>
      <c r="G9" s="16" t="s">
        <v>400</v>
      </c>
      <c r="H9" s="5" t="s">
        <v>174</v>
      </c>
      <c r="I9" s="57" t="s">
        <v>410</v>
      </c>
    </row>
    <row r="10" spans="1:9" ht="31.5" x14ac:dyDescent="0.25">
      <c r="A10" s="57">
        <v>422</v>
      </c>
      <c r="B10" s="57" t="s">
        <v>178</v>
      </c>
      <c r="C10" s="57">
        <v>8</v>
      </c>
      <c r="D10" s="57">
        <v>1</v>
      </c>
      <c r="E10" s="16">
        <f t="shared" si="6"/>
        <v>1</v>
      </c>
      <c r="F10" s="16">
        <f t="shared" si="7"/>
        <v>1</v>
      </c>
      <c r="G10" s="16" t="s">
        <v>401</v>
      </c>
      <c r="H10" s="5" t="s">
        <v>179</v>
      </c>
      <c r="I10" s="57" t="s">
        <v>411</v>
      </c>
    </row>
    <row r="11" spans="1:9" ht="31.5" x14ac:dyDescent="0.25">
      <c r="A11" s="57">
        <v>422</v>
      </c>
      <c r="B11" s="57" t="s">
        <v>395</v>
      </c>
      <c r="C11" s="57">
        <v>9</v>
      </c>
      <c r="D11" s="57">
        <v>1</v>
      </c>
      <c r="E11" s="16">
        <f t="shared" si="6"/>
        <v>1</v>
      </c>
      <c r="F11" s="16">
        <f t="shared" si="7"/>
        <v>1</v>
      </c>
      <c r="G11" s="16" t="s">
        <v>402</v>
      </c>
      <c r="H11" s="5" t="s">
        <v>180</v>
      </c>
      <c r="I11" s="57" t="s">
        <v>412</v>
      </c>
    </row>
    <row r="12" spans="1:9" ht="31.5" x14ac:dyDescent="0.25">
      <c r="A12" s="57">
        <v>422</v>
      </c>
      <c r="B12" s="57" t="s">
        <v>181</v>
      </c>
      <c r="C12" s="57">
        <v>10</v>
      </c>
      <c r="D12" s="57">
        <v>1</v>
      </c>
      <c r="E12" s="16">
        <f t="shared" si="6"/>
        <v>1</v>
      </c>
      <c r="F12" s="16">
        <f t="shared" si="7"/>
        <v>1</v>
      </c>
      <c r="G12" s="16" t="s">
        <v>678</v>
      </c>
      <c r="H12" s="5" t="s">
        <v>182</v>
      </c>
      <c r="I12" s="57" t="s">
        <v>413</v>
      </c>
    </row>
    <row r="13" spans="1:9" ht="31.5" x14ac:dyDescent="0.25">
      <c r="A13" s="57">
        <v>422</v>
      </c>
      <c r="B13" s="57" t="s">
        <v>183</v>
      </c>
      <c r="C13" s="57">
        <v>11</v>
      </c>
      <c r="D13" s="57">
        <v>1</v>
      </c>
      <c r="E13" s="16">
        <f t="shared" si="6"/>
        <v>1</v>
      </c>
      <c r="F13" s="16">
        <f t="shared" si="7"/>
        <v>1</v>
      </c>
      <c r="G13" s="16" t="s">
        <v>678</v>
      </c>
      <c r="H13" s="5" t="s">
        <v>182</v>
      </c>
      <c r="I13" s="57" t="s">
        <v>414</v>
      </c>
    </row>
    <row r="14" spans="1:9" ht="31.5" x14ac:dyDescent="0.25">
      <c r="A14" s="57">
        <v>422</v>
      </c>
      <c r="B14" s="57" t="s">
        <v>184</v>
      </c>
      <c r="C14" s="57">
        <v>12</v>
      </c>
      <c r="D14" s="57">
        <v>1</v>
      </c>
      <c r="E14" s="16">
        <f t="shared" si="6"/>
        <v>1</v>
      </c>
      <c r="F14" s="16">
        <f t="shared" si="7"/>
        <v>1</v>
      </c>
      <c r="G14" s="16" t="s">
        <v>403</v>
      </c>
      <c r="H14" s="5" t="s">
        <v>174</v>
      </c>
      <c r="I14" s="57" t="s">
        <v>415</v>
      </c>
    </row>
    <row r="15" spans="1:9" ht="31.5" x14ac:dyDescent="0.25">
      <c r="A15" s="57">
        <v>422</v>
      </c>
      <c r="B15" s="57" t="s">
        <v>185</v>
      </c>
      <c r="C15" s="57">
        <v>13</v>
      </c>
      <c r="D15" s="57">
        <v>1</v>
      </c>
      <c r="E15" s="16">
        <f t="shared" si="6"/>
        <v>1</v>
      </c>
      <c r="F15" s="16">
        <f t="shared" si="7"/>
        <v>1</v>
      </c>
      <c r="G15" s="16" t="s">
        <v>404</v>
      </c>
      <c r="H15" s="5" t="s">
        <v>174</v>
      </c>
      <c r="I15" s="57" t="s">
        <v>416</v>
      </c>
    </row>
    <row r="16" spans="1:9" x14ac:dyDescent="0.25">
      <c r="A16" s="57">
        <v>422</v>
      </c>
      <c r="B16" s="57" t="s">
        <v>26</v>
      </c>
      <c r="C16" s="57">
        <v>14</v>
      </c>
      <c r="D16" s="57">
        <v>1</v>
      </c>
      <c r="E16" s="16">
        <f t="shared" si="6"/>
        <v>1</v>
      </c>
      <c r="F16" s="16">
        <f t="shared" si="7"/>
        <v>1</v>
      </c>
      <c r="G16" s="57" t="s">
        <v>25</v>
      </c>
      <c r="H16" s="57"/>
      <c r="I16" s="57" t="s">
        <v>417</v>
      </c>
    </row>
    <row r="17" spans="1:9" ht="16.5" thickBot="1" x14ac:dyDescent="0.3">
      <c r="A17" s="99">
        <v>422</v>
      </c>
      <c r="B17" s="99" t="s">
        <v>26</v>
      </c>
      <c r="C17" s="99">
        <v>15</v>
      </c>
      <c r="D17" s="99">
        <v>1</v>
      </c>
      <c r="E17" s="64">
        <f t="shared" si="6"/>
        <v>1</v>
      </c>
      <c r="F17" s="64">
        <f t="shared" si="7"/>
        <v>1</v>
      </c>
      <c r="G17" s="99" t="s">
        <v>25</v>
      </c>
      <c r="H17" s="99"/>
      <c r="I17" s="99" t="s">
        <v>418</v>
      </c>
    </row>
    <row r="18" spans="1:9" ht="31.5" x14ac:dyDescent="0.25">
      <c r="A18" s="50">
        <v>423</v>
      </c>
      <c r="B18" s="50" t="s">
        <v>186</v>
      </c>
      <c r="C18" s="50">
        <v>0</v>
      </c>
      <c r="D18" s="50">
        <v>1</v>
      </c>
      <c r="E18" s="8">
        <f t="shared" ref="E18" si="8">QUOTIENT(D18+7,8)</f>
        <v>1</v>
      </c>
      <c r="F18" s="8">
        <f t="shared" ref="F18" si="9">QUOTIENT(E18+1,2)</f>
        <v>1</v>
      </c>
      <c r="G18" s="8" t="s">
        <v>421</v>
      </c>
      <c r="H18" s="5" t="s">
        <v>679</v>
      </c>
      <c r="I18" s="57" t="s">
        <v>430</v>
      </c>
    </row>
    <row r="19" spans="1:9" ht="31.5" x14ac:dyDescent="0.25">
      <c r="A19" s="57">
        <v>423</v>
      </c>
      <c r="B19" s="57" t="s">
        <v>187</v>
      </c>
      <c r="C19" s="57">
        <v>1</v>
      </c>
      <c r="D19" s="57">
        <v>1</v>
      </c>
      <c r="E19" s="16">
        <f t="shared" ref="E19:E44" si="10">QUOTIENT(D19+7,8)</f>
        <v>1</v>
      </c>
      <c r="F19" s="16">
        <f t="shared" ref="F19:F44" si="11">QUOTIENT(E19+1,2)</f>
        <v>1</v>
      </c>
      <c r="G19" s="16" t="s">
        <v>422</v>
      </c>
      <c r="H19" s="5" t="s">
        <v>188</v>
      </c>
      <c r="I19" s="57" t="s">
        <v>431</v>
      </c>
    </row>
    <row r="20" spans="1:9" ht="75" x14ac:dyDescent="0.25">
      <c r="A20" s="57">
        <v>423</v>
      </c>
      <c r="B20" s="57" t="s">
        <v>189</v>
      </c>
      <c r="C20" s="57">
        <v>2</v>
      </c>
      <c r="D20" s="57">
        <v>1</v>
      </c>
      <c r="E20" s="16">
        <f t="shared" si="10"/>
        <v>1</v>
      </c>
      <c r="F20" s="16">
        <f t="shared" si="11"/>
        <v>1</v>
      </c>
      <c r="G20" s="16" t="s">
        <v>424</v>
      </c>
      <c r="H20" s="5" t="s">
        <v>680</v>
      </c>
      <c r="I20" s="57" t="s">
        <v>432</v>
      </c>
    </row>
    <row r="21" spans="1:9" ht="31.5" x14ac:dyDescent="0.25">
      <c r="A21" s="57">
        <v>423</v>
      </c>
      <c r="B21" s="57" t="s">
        <v>191</v>
      </c>
      <c r="C21" s="57">
        <v>3</v>
      </c>
      <c r="D21" s="57">
        <v>1</v>
      </c>
      <c r="E21" s="16">
        <f t="shared" si="10"/>
        <v>1</v>
      </c>
      <c r="F21" s="16">
        <f t="shared" si="11"/>
        <v>1</v>
      </c>
      <c r="G21" s="16" t="s">
        <v>423</v>
      </c>
      <c r="H21" s="5" t="s">
        <v>192</v>
      </c>
      <c r="I21" s="57" t="s">
        <v>433</v>
      </c>
    </row>
    <row r="22" spans="1:9" ht="31.5" x14ac:dyDescent="0.25">
      <c r="A22" s="57">
        <v>423</v>
      </c>
      <c r="B22" s="57" t="s">
        <v>193</v>
      </c>
      <c r="C22" s="57">
        <v>4</v>
      </c>
      <c r="D22" s="57">
        <v>1</v>
      </c>
      <c r="E22" s="16">
        <f t="shared" si="10"/>
        <v>1</v>
      </c>
      <c r="F22" s="16">
        <f t="shared" si="11"/>
        <v>1</v>
      </c>
      <c r="G22" s="16" t="s">
        <v>611</v>
      </c>
      <c r="H22" s="5" t="s">
        <v>194</v>
      </c>
      <c r="I22" s="57" t="s">
        <v>434</v>
      </c>
    </row>
    <row r="23" spans="1:9" ht="31.5" x14ac:dyDescent="0.25">
      <c r="A23" s="57">
        <v>423</v>
      </c>
      <c r="B23" s="57" t="s">
        <v>195</v>
      </c>
      <c r="C23" s="57">
        <v>5</v>
      </c>
      <c r="D23" s="57">
        <v>1</v>
      </c>
      <c r="E23" s="16">
        <f t="shared" si="10"/>
        <v>1</v>
      </c>
      <c r="F23" s="16">
        <f t="shared" si="11"/>
        <v>1</v>
      </c>
      <c r="G23" s="16" t="s">
        <v>681</v>
      </c>
      <c r="H23" s="5" t="s">
        <v>682</v>
      </c>
      <c r="I23" s="57" t="s">
        <v>435</v>
      </c>
    </row>
    <row r="24" spans="1:9" ht="31.5" x14ac:dyDescent="0.25">
      <c r="A24" s="57">
        <v>423</v>
      </c>
      <c r="B24" s="57" t="s">
        <v>196</v>
      </c>
      <c r="C24" s="57">
        <v>6</v>
      </c>
      <c r="D24" s="57">
        <v>1</v>
      </c>
      <c r="E24" s="16">
        <f t="shared" si="10"/>
        <v>1</v>
      </c>
      <c r="F24" s="16">
        <f t="shared" si="11"/>
        <v>1</v>
      </c>
      <c r="G24" s="16" t="s">
        <v>425</v>
      </c>
      <c r="H24" s="5" t="s">
        <v>683</v>
      </c>
      <c r="I24" s="57" t="s">
        <v>436</v>
      </c>
    </row>
    <row r="25" spans="1:9" ht="90" x14ac:dyDescent="0.25">
      <c r="A25" s="57">
        <v>423</v>
      </c>
      <c r="B25" s="57" t="s">
        <v>197</v>
      </c>
      <c r="C25" s="57">
        <v>7</v>
      </c>
      <c r="D25" s="57">
        <v>1</v>
      </c>
      <c r="E25" s="16">
        <f t="shared" si="10"/>
        <v>1</v>
      </c>
      <c r="F25" s="16">
        <f t="shared" si="11"/>
        <v>1</v>
      </c>
      <c r="G25" s="16" t="s">
        <v>684</v>
      </c>
      <c r="H25" s="5" t="s">
        <v>685</v>
      </c>
      <c r="I25" s="57" t="s">
        <v>437</v>
      </c>
    </row>
    <row r="26" spans="1:9" ht="45" x14ac:dyDescent="0.25">
      <c r="A26" s="57">
        <v>423</v>
      </c>
      <c r="B26" s="57" t="s">
        <v>198</v>
      </c>
      <c r="C26" s="57">
        <v>8</v>
      </c>
      <c r="D26" s="57">
        <v>1</v>
      </c>
      <c r="E26" s="16">
        <f t="shared" si="10"/>
        <v>1</v>
      </c>
      <c r="F26" s="16">
        <f t="shared" si="11"/>
        <v>1</v>
      </c>
      <c r="G26" s="16" t="s">
        <v>426</v>
      </c>
      <c r="H26" s="5" t="s">
        <v>686</v>
      </c>
      <c r="I26" s="57" t="s">
        <v>438</v>
      </c>
    </row>
    <row r="27" spans="1:9" ht="120" x14ac:dyDescent="0.25">
      <c r="A27" s="57">
        <v>423</v>
      </c>
      <c r="B27" s="57" t="s">
        <v>199</v>
      </c>
      <c r="C27" s="57">
        <v>9</v>
      </c>
      <c r="D27" s="57">
        <v>1</v>
      </c>
      <c r="E27" s="16">
        <f t="shared" si="10"/>
        <v>1</v>
      </c>
      <c r="F27" s="16">
        <f t="shared" si="11"/>
        <v>1</v>
      </c>
      <c r="G27" s="16" t="s">
        <v>687</v>
      </c>
      <c r="H27" s="5" t="s">
        <v>688</v>
      </c>
      <c r="I27" s="57" t="s">
        <v>439</v>
      </c>
    </row>
    <row r="28" spans="1:9" ht="165" x14ac:dyDescent="0.25">
      <c r="A28" s="57">
        <v>423</v>
      </c>
      <c r="B28" s="57" t="s">
        <v>200</v>
      </c>
      <c r="C28" s="57">
        <v>10</v>
      </c>
      <c r="D28" s="57">
        <v>1</v>
      </c>
      <c r="E28" s="16">
        <f t="shared" si="10"/>
        <v>1</v>
      </c>
      <c r="F28" s="16">
        <f t="shared" si="11"/>
        <v>1</v>
      </c>
      <c r="G28" s="16" t="s">
        <v>689</v>
      </c>
      <c r="H28" s="5" t="s">
        <v>690</v>
      </c>
      <c r="I28" s="57" t="s">
        <v>440</v>
      </c>
    </row>
    <row r="29" spans="1:9" ht="78.75" x14ac:dyDescent="0.25">
      <c r="A29" s="57">
        <v>423</v>
      </c>
      <c r="B29" s="57" t="s">
        <v>201</v>
      </c>
      <c r="C29" s="94" t="s">
        <v>348</v>
      </c>
      <c r="D29" s="57">
        <v>2</v>
      </c>
      <c r="E29" s="16">
        <f t="shared" si="10"/>
        <v>1</v>
      </c>
      <c r="F29" s="16">
        <f t="shared" si="11"/>
        <v>1</v>
      </c>
      <c r="G29" s="16" t="s">
        <v>428</v>
      </c>
      <c r="H29" s="5" t="s">
        <v>691</v>
      </c>
      <c r="I29" s="57" t="s">
        <v>441</v>
      </c>
    </row>
    <row r="30" spans="1:9" ht="78.75" x14ac:dyDescent="0.25">
      <c r="A30" s="57">
        <v>423</v>
      </c>
      <c r="B30" s="57" t="s">
        <v>202</v>
      </c>
      <c r="C30" s="94" t="s">
        <v>420</v>
      </c>
      <c r="D30" s="57">
        <v>2</v>
      </c>
      <c r="E30" s="16">
        <f t="shared" si="10"/>
        <v>1</v>
      </c>
      <c r="F30" s="16">
        <f t="shared" si="11"/>
        <v>1</v>
      </c>
      <c r="G30" s="16" t="s">
        <v>429</v>
      </c>
      <c r="H30" s="5" t="s">
        <v>203</v>
      </c>
      <c r="I30" s="57" t="s">
        <v>442</v>
      </c>
    </row>
    <row r="31" spans="1:9" ht="32.25" thickBot="1" x14ac:dyDescent="0.3">
      <c r="A31" s="99">
        <v>423</v>
      </c>
      <c r="B31" s="99" t="s">
        <v>419</v>
      </c>
      <c r="C31" s="99">
        <v>15</v>
      </c>
      <c r="D31" s="99">
        <v>1</v>
      </c>
      <c r="E31" s="64">
        <f t="shared" si="10"/>
        <v>1</v>
      </c>
      <c r="F31" s="64">
        <f t="shared" si="11"/>
        <v>1</v>
      </c>
      <c r="G31" s="64" t="s">
        <v>427</v>
      </c>
      <c r="H31" s="109" t="s">
        <v>692</v>
      </c>
      <c r="I31" s="99" t="s">
        <v>443</v>
      </c>
    </row>
    <row r="32" spans="1:9" ht="16.5" thickBot="1" x14ac:dyDescent="0.3">
      <c r="A32" s="49">
        <v>424</v>
      </c>
      <c r="B32" s="49" t="s">
        <v>579</v>
      </c>
      <c r="C32" s="65" t="s">
        <v>311</v>
      </c>
      <c r="D32" s="138">
        <v>16</v>
      </c>
      <c r="E32" s="66">
        <f t="shared" si="10"/>
        <v>2</v>
      </c>
      <c r="F32" s="66">
        <f t="shared" si="11"/>
        <v>1</v>
      </c>
      <c r="G32" s="139" t="s">
        <v>579</v>
      </c>
      <c r="H32" s="49"/>
      <c r="I32" s="49"/>
    </row>
    <row r="33" spans="1:9" ht="16.5" thickBot="1" x14ac:dyDescent="0.3">
      <c r="A33" s="49">
        <v>425</v>
      </c>
      <c r="B33" s="49" t="s">
        <v>580</v>
      </c>
      <c r="C33" s="65" t="s">
        <v>311</v>
      </c>
      <c r="D33" s="138">
        <v>16</v>
      </c>
      <c r="E33" s="66">
        <f t="shared" ref="E33:E34" si="12">QUOTIENT(D33+7,8)</f>
        <v>2</v>
      </c>
      <c r="F33" s="66">
        <f t="shared" ref="F33:F34" si="13">QUOTIENT(E33+1,2)</f>
        <v>1</v>
      </c>
      <c r="G33" s="139" t="s">
        <v>580</v>
      </c>
      <c r="H33" s="49"/>
      <c r="I33" s="49"/>
    </row>
    <row r="34" spans="1:9" ht="16.5" thickBot="1" x14ac:dyDescent="0.3">
      <c r="A34" s="49">
        <v>426</v>
      </c>
      <c r="B34" s="49" t="s">
        <v>579</v>
      </c>
      <c r="C34" s="65" t="s">
        <v>311</v>
      </c>
      <c r="D34" s="138">
        <v>16</v>
      </c>
      <c r="E34" s="66">
        <f t="shared" si="12"/>
        <v>2</v>
      </c>
      <c r="F34" s="66">
        <f t="shared" si="13"/>
        <v>1</v>
      </c>
      <c r="G34" s="139" t="s">
        <v>579</v>
      </c>
      <c r="H34" s="49"/>
      <c r="I34" s="49"/>
    </row>
    <row r="35" spans="1:9" ht="16.5" thickBot="1" x14ac:dyDescent="0.3">
      <c r="A35" s="49">
        <v>427</v>
      </c>
      <c r="B35" s="49" t="s">
        <v>580</v>
      </c>
      <c r="C35" s="65" t="s">
        <v>311</v>
      </c>
      <c r="D35" s="138">
        <v>16</v>
      </c>
      <c r="E35" s="66">
        <f t="shared" ref="E35:E41" si="14">QUOTIENT(D35+7,8)</f>
        <v>2</v>
      </c>
      <c r="F35" s="66">
        <f t="shared" ref="F35:F41" si="15">QUOTIENT(E35+1,2)</f>
        <v>1</v>
      </c>
      <c r="G35" s="139" t="s">
        <v>580</v>
      </c>
      <c r="H35" s="49"/>
      <c r="I35" s="49"/>
    </row>
    <row r="36" spans="1:9" ht="16.5" thickBot="1" x14ac:dyDescent="0.3">
      <c r="A36" s="49">
        <v>428</v>
      </c>
      <c r="B36" s="49" t="s">
        <v>579</v>
      </c>
      <c r="C36" s="65" t="s">
        <v>311</v>
      </c>
      <c r="D36" s="138">
        <v>16</v>
      </c>
      <c r="E36" s="66">
        <f t="shared" si="14"/>
        <v>2</v>
      </c>
      <c r="F36" s="66">
        <f t="shared" si="15"/>
        <v>1</v>
      </c>
      <c r="G36" s="139" t="s">
        <v>579</v>
      </c>
      <c r="H36" s="49"/>
      <c r="I36" s="49"/>
    </row>
    <row r="37" spans="1:9" ht="16.5" thickBot="1" x14ac:dyDescent="0.3">
      <c r="A37" s="49">
        <v>429</v>
      </c>
      <c r="B37" s="49" t="s">
        <v>580</v>
      </c>
      <c r="C37" s="65" t="s">
        <v>311</v>
      </c>
      <c r="D37" s="138">
        <v>16</v>
      </c>
      <c r="E37" s="66">
        <f t="shared" si="14"/>
        <v>2</v>
      </c>
      <c r="F37" s="66">
        <f t="shared" si="15"/>
        <v>1</v>
      </c>
      <c r="G37" s="139" t="s">
        <v>580</v>
      </c>
      <c r="H37" s="49"/>
      <c r="I37" s="49"/>
    </row>
    <row r="38" spans="1:9" ht="16.5" thickBot="1" x14ac:dyDescent="0.3">
      <c r="A38" s="144" t="s">
        <v>575</v>
      </c>
      <c r="B38" s="49" t="s">
        <v>579</v>
      </c>
      <c r="C38" s="65" t="s">
        <v>311</v>
      </c>
      <c r="D38" s="138">
        <v>16</v>
      </c>
      <c r="E38" s="66">
        <f t="shared" si="14"/>
        <v>2</v>
      </c>
      <c r="F38" s="66">
        <f t="shared" si="15"/>
        <v>1</v>
      </c>
      <c r="G38" s="139" t="s">
        <v>579</v>
      </c>
      <c r="H38" s="49"/>
      <c r="I38" s="49"/>
    </row>
    <row r="39" spans="1:9" ht="16.5" thickBot="1" x14ac:dyDescent="0.3">
      <c r="A39" s="144" t="s">
        <v>576</v>
      </c>
      <c r="B39" s="49" t="s">
        <v>580</v>
      </c>
      <c r="C39" s="65" t="s">
        <v>311</v>
      </c>
      <c r="D39" s="138">
        <v>16</v>
      </c>
      <c r="E39" s="66">
        <f t="shared" si="14"/>
        <v>2</v>
      </c>
      <c r="F39" s="66">
        <f t="shared" si="15"/>
        <v>1</v>
      </c>
      <c r="G39" s="139" t="s">
        <v>580</v>
      </c>
      <c r="H39" s="49"/>
      <c r="I39" s="49"/>
    </row>
    <row r="40" spans="1:9" ht="16.5" thickBot="1" x14ac:dyDescent="0.3">
      <c r="A40" s="144" t="s">
        <v>577</v>
      </c>
      <c r="B40" s="49" t="s">
        <v>579</v>
      </c>
      <c r="C40" s="65" t="s">
        <v>311</v>
      </c>
      <c r="D40" s="138">
        <v>16</v>
      </c>
      <c r="E40" s="66">
        <f t="shared" si="14"/>
        <v>2</v>
      </c>
      <c r="F40" s="66">
        <f t="shared" si="15"/>
        <v>1</v>
      </c>
      <c r="G40" s="139" t="s">
        <v>579</v>
      </c>
      <c r="H40" s="49"/>
      <c r="I40" s="49"/>
    </row>
    <row r="41" spans="1:9" ht="16.5" thickBot="1" x14ac:dyDescent="0.3">
      <c r="A41" s="144" t="s">
        <v>578</v>
      </c>
      <c r="B41" s="49" t="s">
        <v>580</v>
      </c>
      <c r="C41" s="65" t="s">
        <v>311</v>
      </c>
      <c r="D41" s="138">
        <v>16</v>
      </c>
      <c r="E41" s="66">
        <f t="shared" si="14"/>
        <v>2</v>
      </c>
      <c r="F41" s="66">
        <f t="shared" si="15"/>
        <v>1</v>
      </c>
      <c r="G41" s="139" t="s">
        <v>580</v>
      </c>
      <c r="H41" s="49"/>
      <c r="I41" s="49"/>
    </row>
    <row r="42" spans="1:9" x14ac:dyDescent="0.25">
      <c r="A42" s="118" t="s">
        <v>569</v>
      </c>
      <c r="B42" s="130" t="s">
        <v>570</v>
      </c>
      <c r="C42" s="115" t="s">
        <v>572</v>
      </c>
      <c r="D42" s="130">
        <v>15</v>
      </c>
      <c r="E42" s="24">
        <f t="shared" si="10"/>
        <v>2</v>
      </c>
      <c r="F42" s="24">
        <f t="shared" si="11"/>
        <v>1</v>
      </c>
      <c r="G42" s="131" t="s">
        <v>570</v>
      </c>
      <c r="H42" s="132"/>
      <c r="I42" s="130"/>
    </row>
    <row r="43" spans="1:9" ht="16.5" thickBot="1" x14ac:dyDescent="0.3">
      <c r="A43" s="119" t="s">
        <v>569</v>
      </c>
      <c r="B43" s="133" t="s">
        <v>573</v>
      </c>
      <c r="C43" s="133">
        <v>0</v>
      </c>
      <c r="D43" s="133">
        <v>1</v>
      </c>
      <c r="E43" s="64">
        <f t="shared" si="10"/>
        <v>1</v>
      </c>
      <c r="F43" s="64">
        <f t="shared" si="11"/>
        <v>1</v>
      </c>
      <c r="G43" s="134" t="s">
        <v>574</v>
      </c>
      <c r="H43" s="135"/>
      <c r="I43" s="133"/>
    </row>
    <row r="44" spans="1:9" ht="16.5" thickBot="1" x14ac:dyDescent="0.3">
      <c r="A44" s="111" t="s">
        <v>571</v>
      </c>
      <c r="B44" s="127" t="s">
        <v>570</v>
      </c>
      <c r="C44" s="94" t="s">
        <v>311</v>
      </c>
      <c r="D44" s="127">
        <v>16</v>
      </c>
      <c r="E44" s="91">
        <f t="shared" si="10"/>
        <v>2</v>
      </c>
      <c r="F44" s="91">
        <f t="shared" si="11"/>
        <v>1</v>
      </c>
      <c r="G44" s="128" t="s">
        <v>570</v>
      </c>
      <c r="H44" s="129"/>
      <c r="I44" s="127"/>
    </row>
    <row r="45" spans="1:9" ht="16.5" thickBot="1" x14ac:dyDescent="0.3">
      <c r="A45" s="113">
        <v>430</v>
      </c>
      <c r="B45" s="13" t="s">
        <v>22</v>
      </c>
      <c r="C45" s="59"/>
      <c r="D45" s="59">
        <f>SUM(D2:D44)</f>
        <v>256</v>
      </c>
      <c r="E45" s="12">
        <f>QUOTIENT(D45+7,8)</f>
        <v>32</v>
      </c>
      <c r="F45" s="12">
        <f>QUOTIENT(E45+1,2)</f>
        <v>16</v>
      </c>
      <c r="G45" s="59"/>
      <c r="H45" s="59"/>
      <c r="I45" s="59"/>
    </row>
  </sheetData>
  <phoneticPr fontId="1" type="noConversion"/>
  <hyperlinks>
    <hyperlink ref="G32" location="OTPSTRAP!A4" display="Duplicate to 422" xr:uid="{04A520CC-97D1-4887-919C-668FA546694A}"/>
    <hyperlink ref="G33" location="OTPSTRAP!A18" display="Duplicate to 423" xr:uid="{A2E57536-BE6C-4EA5-9CC0-7A7B0768D1A0}"/>
    <hyperlink ref="G34" location="OTPSTRAP!A4" display="Duplicate to 422" xr:uid="{F3EFC775-64AC-44B1-B87A-C9E95413677C}"/>
    <hyperlink ref="G35" location="OTPSTRAP!A18" display="Duplicate to 423" xr:uid="{BC07C289-7900-4FE2-A6DE-80FD3DB1C3D0}"/>
    <hyperlink ref="G36" location="OTPSTRAP!A4" display="Duplicate to 422" xr:uid="{8AB5E0BC-CEC2-41FB-B7CA-D76A656D4624}"/>
    <hyperlink ref="G37" location="OTPSTRAP!A18" display="Duplicate to 423" xr:uid="{CB598760-92BA-4FF9-8182-6914D16F0E12}"/>
    <hyperlink ref="G38" location="OTPSTRAP!A4" display="Duplicate to 422" xr:uid="{83B229C8-6832-4B21-8564-9574D5359C5A}"/>
    <hyperlink ref="G39" location="OTPSTRAP!A18" display="Duplicate to 423" xr:uid="{3756AB70-717C-4F74-B8A2-CAEBDB66F119}"/>
    <hyperlink ref="G40" location="OTPSTRAP!A4" display="Duplicate to 422" xr:uid="{2995B5FD-94F9-480E-8CA8-28BF7AA89C84}"/>
    <hyperlink ref="G41" location="OTPSTRAP!A18" display="Duplicate to 423" xr:uid="{865A5E1C-B57D-4C22-95BA-B4E7863C758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CBFA-8681-4919-9FDC-4767B8A4CF1C}">
  <dimension ref="A1:I73"/>
  <sheetViews>
    <sheetView workbookViewId="0">
      <pane ySplit="1" topLeftCell="A44" activePane="bottomLeft" state="frozen"/>
      <selection pane="bottomLeft" activeCell="C13" sqref="C13"/>
    </sheetView>
  </sheetViews>
  <sheetFormatPr defaultRowHeight="15.75" x14ac:dyDescent="0.25"/>
  <cols>
    <col min="1" max="1" width="22.375" style="48" customWidth="1"/>
    <col min="2" max="2" width="27.25" style="48" customWidth="1"/>
    <col min="3" max="3" width="5.875" style="48" customWidth="1"/>
    <col min="4" max="4" width="10.125" style="48" customWidth="1"/>
    <col min="5" max="5" width="12.375" style="48" customWidth="1"/>
    <col min="6" max="6" width="12.25" style="48" customWidth="1"/>
    <col min="7" max="7" width="43.75" style="48" customWidth="1"/>
    <col min="8" max="8" width="56.125" style="11" customWidth="1"/>
    <col min="9" max="9" width="30" style="48" customWidth="1"/>
    <col min="10" max="16384" width="9" style="48"/>
  </cols>
  <sheetData>
    <row r="1" spans="1:9" ht="19.5" thickBot="1" x14ac:dyDescent="0.3">
      <c r="A1" s="110" t="s">
        <v>306</v>
      </c>
      <c r="B1" s="110" t="s">
        <v>529</v>
      </c>
      <c r="C1" s="110" t="s">
        <v>308</v>
      </c>
      <c r="D1" s="110" t="s">
        <v>312</v>
      </c>
      <c r="E1" s="110" t="s">
        <v>313</v>
      </c>
      <c r="F1" s="110" t="s">
        <v>314</v>
      </c>
      <c r="G1" s="110" t="s">
        <v>18</v>
      </c>
      <c r="H1" s="110" t="s">
        <v>19</v>
      </c>
      <c r="I1" s="110" t="s">
        <v>318</v>
      </c>
    </row>
    <row r="2" spans="1:9" ht="16.5" thickBot="1" x14ac:dyDescent="0.3">
      <c r="A2" s="99">
        <v>430</v>
      </c>
      <c r="B2" s="99" t="s">
        <v>25</v>
      </c>
      <c r="C2" s="95" t="s">
        <v>311</v>
      </c>
      <c r="D2" s="99">
        <v>16</v>
      </c>
      <c r="E2" s="64">
        <f t="shared" ref="E2" si="0">QUOTIENT(D2+7,8)</f>
        <v>2</v>
      </c>
      <c r="F2" s="64">
        <f t="shared" ref="F2" si="1">QUOTIENT(E2+1,2)</f>
        <v>1</v>
      </c>
      <c r="G2" s="99" t="s">
        <v>444</v>
      </c>
      <c r="H2" s="64"/>
      <c r="I2" s="99" t="s">
        <v>465</v>
      </c>
    </row>
    <row r="3" spans="1:9" x14ac:dyDescent="0.25">
      <c r="A3" s="50">
        <v>431</v>
      </c>
      <c r="B3" s="50" t="s">
        <v>204</v>
      </c>
      <c r="C3" s="50">
        <v>0</v>
      </c>
      <c r="D3" s="50">
        <v>1</v>
      </c>
      <c r="E3" s="8">
        <f t="shared" ref="E3:E30" si="2">QUOTIENT(D3+7,8)</f>
        <v>1</v>
      </c>
      <c r="F3" s="8">
        <f t="shared" ref="F3:F30" si="3">QUOTIENT(E3+1,2)</f>
        <v>1</v>
      </c>
      <c r="G3" s="50" t="s">
        <v>205</v>
      </c>
      <c r="H3" s="8" t="s">
        <v>206</v>
      </c>
      <c r="I3" s="50" t="s">
        <v>450</v>
      </c>
    </row>
    <row r="4" spans="1:9" x14ac:dyDescent="0.25">
      <c r="A4" s="57">
        <v>431</v>
      </c>
      <c r="B4" s="57" t="s">
        <v>26</v>
      </c>
      <c r="C4" s="57">
        <v>1</v>
      </c>
      <c r="D4" s="57">
        <v>1</v>
      </c>
      <c r="E4" s="16">
        <f t="shared" si="2"/>
        <v>1</v>
      </c>
      <c r="F4" s="16">
        <f t="shared" si="3"/>
        <v>1</v>
      </c>
      <c r="G4" s="57" t="s">
        <v>444</v>
      </c>
      <c r="H4" s="16"/>
      <c r="I4" s="57" t="s">
        <v>451</v>
      </c>
    </row>
    <row r="5" spans="1:9" ht="47.25" x14ac:dyDescent="0.25">
      <c r="A5" s="57">
        <v>431</v>
      </c>
      <c r="B5" s="57" t="s">
        <v>207</v>
      </c>
      <c r="C5" s="57">
        <v>2</v>
      </c>
      <c r="D5" s="57">
        <v>1</v>
      </c>
      <c r="E5" s="16">
        <f t="shared" si="2"/>
        <v>1</v>
      </c>
      <c r="F5" s="16">
        <f t="shared" si="3"/>
        <v>1</v>
      </c>
      <c r="G5" s="16" t="s">
        <v>445</v>
      </c>
      <c r="H5" s="16" t="s">
        <v>215</v>
      </c>
      <c r="I5" s="57" t="s">
        <v>452</v>
      </c>
    </row>
    <row r="6" spans="1:9" ht="110.25" x14ac:dyDescent="0.25">
      <c r="A6" s="57">
        <v>431</v>
      </c>
      <c r="B6" s="57" t="s">
        <v>208</v>
      </c>
      <c r="C6" s="57">
        <v>3</v>
      </c>
      <c r="D6" s="57">
        <v>1</v>
      </c>
      <c r="E6" s="16">
        <f t="shared" si="2"/>
        <v>1</v>
      </c>
      <c r="F6" s="16">
        <f t="shared" si="3"/>
        <v>1</v>
      </c>
      <c r="G6" s="16" t="s">
        <v>446</v>
      </c>
      <c r="H6" s="16" t="s">
        <v>693</v>
      </c>
      <c r="I6" s="57" t="s">
        <v>453</v>
      </c>
    </row>
    <row r="7" spans="1:9" ht="31.5" x14ac:dyDescent="0.25">
      <c r="A7" s="57">
        <v>431</v>
      </c>
      <c r="B7" s="57" t="s">
        <v>209</v>
      </c>
      <c r="C7" s="57">
        <v>4</v>
      </c>
      <c r="D7" s="57">
        <v>1</v>
      </c>
      <c r="E7" s="16">
        <f t="shared" si="2"/>
        <v>1</v>
      </c>
      <c r="F7" s="16">
        <f t="shared" si="3"/>
        <v>1</v>
      </c>
      <c r="G7" s="16" t="s">
        <v>447</v>
      </c>
      <c r="H7" s="16" t="s">
        <v>215</v>
      </c>
      <c r="I7" s="57" t="s">
        <v>454</v>
      </c>
    </row>
    <row r="8" spans="1:9" x14ac:dyDescent="0.25">
      <c r="A8" s="57">
        <v>431</v>
      </c>
      <c r="B8" s="57" t="s">
        <v>210</v>
      </c>
      <c r="C8" s="57">
        <v>5</v>
      </c>
      <c r="D8" s="57">
        <v>1</v>
      </c>
      <c r="E8" s="16">
        <f t="shared" si="2"/>
        <v>1</v>
      </c>
      <c r="F8" s="16">
        <f t="shared" si="3"/>
        <v>1</v>
      </c>
      <c r="G8" s="57" t="s">
        <v>211</v>
      </c>
      <c r="H8" s="16" t="s">
        <v>215</v>
      </c>
      <c r="I8" s="57" t="s">
        <v>455</v>
      </c>
    </row>
    <row r="9" spans="1:9" ht="31.5" x14ac:dyDescent="0.25">
      <c r="A9" s="57">
        <v>431</v>
      </c>
      <c r="B9" s="57" t="s">
        <v>212</v>
      </c>
      <c r="C9" s="57">
        <v>6</v>
      </c>
      <c r="D9" s="57">
        <v>1</v>
      </c>
      <c r="E9" s="16">
        <f t="shared" si="2"/>
        <v>1</v>
      </c>
      <c r="F9" s="16">
        <f t="shared" si="3"/>
        <v>1</v>
      </c>
      <c r="G9" s="57" t="s">
        <v>213</v>
      </c>
      <c r="H9" s="16" t="s">
        <v>694</v>
      </c>
      <c r="I9" s="57" t="s">
        <v>456</v>
      </c>
    </row>
    <row r="10" spans="1:9" x14ac:dyDescent="0.25">
      <c r="A10" s="57">
        <v>431</v>
      </c>
      <c r="B10" s="57" t="s">
        <v>26</v>
      </c>
      <c r="C10" s="57">
        <v>7</v>
      </c>
      <c r="D10" s="57">
        <v>1</v>
      </c>
      <c r="E10" s="16">
        <f t="shared" si="2"/>
        <v>1</v>
      </c>
      <c r="F10" s="16">
        <f t="shared" si="3"/>
        <v>1</v>
      </c>
      <c r="G10" s="57" t="s">
        <v>444</v>
      </c>
      <c r="H10" s="16"/>
      <c r="I10" s="57" t="s">
        <v>457</v>
      </c>
    </row>
    <row r="11" spans="1:9" x14ac:dyDescent="0.25">
      <c r="A11" s="57">
        <v>431</v>
      </c>
      <c r="B11" s="57" t="s">
        <v>26</v>
      </c>
      <c r="C11" s="57">
        <v>8</v>
      </c>
      <c r="D11" s="57">
        <v>1</v>
      </c>
      <c r="E11" s="16">
        <f t="shared" si="2"/>
        <v>1</v>
      </c>
      <c r="F11" s="16">
        <f t="shared" si="3"/>
        <v>1</v>
      </c>
      <c r="G11" s="57" t="s">
        <v>444</v>
      </c>
      <c r="H11" s="16"/>
      <c r="I11" s="57" t="s">
        <v>458</v>
      </c>
    </row>
    <row r="12" spans="1:9" ht="47.25" x14ac:dyDescent="0.25">
      <c r="A12" s="57">
        <v>431</v>
      </c>
      <c r="B12" s="57" t="s">
        <v>189</v>
      </c>
      <c r="C12" s="57">
        <v>9</v>
      </c>
      <c r="D12" s="57">
        <v>1</v>
      </c>
      <c r="E12" s="16">
        <f t="shared" si="2"/>
        <v>1</v>
      </c>
      <c r="F12" s="16">
        <f t="shared" si="3"/>
        <v>1</v>
      </c>
      <c r="G12" s="57" t="s">
        <v>190</v>
      </c>
      <c r="H12" s="16" t="s">
        <v>695</v>
      </c>
      <c r="I12" s="57" t="s">
        <v>459</v>
      </c>
    </row>
    <row r="13" spans="1:9" ht="47.25" x14ac:dyDescent="0.25">
      <c r="A13" s="57">
        <v>431</v>
      </c>
      <c r="B13" s="57" t="s">
        <v>608</v>
      </c>
      <c r="C13" s="105" t="s">
        <v>645</v>
      </c>
      <c r="D13" s="57">
        <v>2</v>
      </c>
      <c r="E13" s="16">
        <f t="shared" si="2"/>
        <v>1</v>
      </c>
      <c r="F13" s="16">
        <f t="shared" si="3"/>
        <v>1</v>
      </c>
      <c r="G13" s="16" t="s">
        <v>696</v>
      </c>
      <c r="H13" s="16"/>
      <c r="I13" s="57" t="s">
        <v>462</v>
      </c>
    </row>
    <row r="14" spans="1:9" ht="47.25" x14ac:dyDescent="0.25">
      <c r="A14" s="57">
        <v>431</v>
      </c>
      <c r="B14" s="57" t="s">
        <v>216</v>
      </c>
      <c r="C14" s="57">
        <v>12</v>
      </c>
      <c r="D14" s="57">
        <v>1</v>
      </c>
      <c r="E14" s="16">
        <f t="shared" si="2"/>
        <v>1</v>
      </c>
      <c r="F14" s="16">
        <f t="shared" si="3"/>
        <v>1</v>
      </c>
      <c r="G14" s="16" t="s">
        <v>448</v>
      </c>
      <c r="H14" s="16" t="s">
        <v>697</v>
      </c>
      <c r="I14" s="57" t="s">
        <v>463</v>
      </c>
    </row>
    <row r="15" spans="1:9" ht="47.25" x14ac:dyDescent="0.25">
      <c r="A15" s="57">
        <v>431</v>
      </c>
      <c r="B15" s="57" t="s">
        <v>217</v>
      </c>
      <c r="C15" s="57">
        <v>13</v>
      </c>
      <c r="D15" s="57">
        <v>1</v>
      </c>
      <c r="E15" s="16">
        <f t="shared" si="2"/>
        <v>1</v>
      </c>
      <c r="F15" s="16">
        <f t="shared" si="3"/>
        <v>1</v>
      </c>
      <c r="G15" s="16" t="s">
        <v>449</v>
      </c>
      <c r="H15" s="16" t="s">
        <v>215</v>
      </c>
      <c r="I15" s="57" t="s">
        <v>460</v>
      </c>
    </row>
    <row r="16" spans="1:9" x14ac:dyDescent="0.25">
      <c r="A16" s="57">
        <v>431</v>
      </c>
      <c r="B16" s="57" t="s">
        <v>218</v>
      </c>
      <c r="C16" s="57">
        <v>14</v>
      </c>
      <c r="D16" s="57">
        <v>1</v>
      </c>
      <c r="E16" s="16">
        <f t="shared" si="2"/>
        <v>1</v>
      </c>
      <c r="F16" s="16">
        <f t="shared" si="3"/>
        <v>1</v>
      </c>
      <c r="G16" s="57" t="s">
        <v>219</v>
      </c>
      <c r="H16" s="16"/>
      <c r="I16" s="57" t="s">
        <v>461</v>
      </c>
    </row>
    <row r="17" spans="1:9" ht="16.5" thickBot="1" x14ac:dyDescent="0.3">
      <c r="A17" s="99">
        <v>431</v>
      </c>
      <c r="B17" s="99" t="s">
        <v>26</v>
      </c>
      <c r="C17" s="99">
        <v>15</v>
      </c>
      <c r="D17" s="99">
        <v>1</v>
      </c>
      <c r="E17" s="64">
        <f t="shared" si="2"/>
        <v>1</v>
      </c>
      <c r="F17" s="64">
        <f t="shared" si="3"/>
        <v>1</v>
      </c>
      <c r="G17" s="99" t="s">
        <v>444</v>
      </c>
      <c r="H17" s="64"/>
      <c r="I17" s="99" t="s">
        <v>464</v>
      </c>
    </row>
    <row r="18" spans="1:9" ht="31.5" x14ac:dyDescent="0.25">
      <c r="A18" s="50">
        <v>432</v>
      </c>
      <c r="B18" s="50" t="s">
        <v>237</v>
      </c>
      <c r="C18" s="50">
        <v>0</v>
      </c>
      <c r="D18" s="50">
        <v>1</v>
      </c>
      <c r="E18" s="8">
        <f t="shared" si="2"/>
        <v>1</v>
      </c>
      <c r="F18" s="8">
        <f t="shared" si="3"/>
        <v>1</v>
      </c>
      <c r="G18" s="8" t="s">
        <v>612</v>
      </c>
      <c r="H18" s="8" t="s">
        <v>698</v>
      </c>
      <c r="I18" s="50" t="s">
        <v>466</v>
      </c>
    </row>
    <row r="19" spans="1:9" ht="94.5" x14ac:dyDescent="0.25">
      <c r="A19" s="57">
        <v>432</v>
      </c>
      <c r="B19" s="57" t="s">
        <v>238</v>
      </c>
      <c r="C19" s="57">
        <v>1</v>
      </c>
      <c r="D19" s="57">
        <v>1</v>
      </c>
      <c r="E19" s="16">
        <f t="shared" si="2"/>
        <v>1</v>
      </c>
      <c r="F19" s="16">
        <f t="shared" si="3"/>
        <v>1</v>
      </c>
      <c r="G19" s="16" t="s">
        <v>468</v>
      </c>
      <c r="H19" s="16" t="s">
        <v>699</v>
      </c>
      <c r="I19" s="57" t="s">
        <v>467</v>
      </c>
    </row>
    <row r="20" spans="1:9" x14ac:dyDescent="0.25">
      <c r="A20" s="57">
        <v>432</v>
      </c>
      <c r="B20" s="57" t="s">
        <v>26</v>
      </c>
      <c r="C20" s="105" t="s">
        <v>469</v>
      </c>
      <c r="D20" s="57">
        <v>5</v>
      </c>
      <c r="E20" s="16">
        <f t="shared" si="2"/>
        <v>1</v>
      </c>
      <c r="F20" s="16">
        <f t="shared" si="3"/>
        <v>1</v>
      </c>
      <c r="G20" s="57" t="s">
        <v>444</v>
      </c>
      <c r="H20" s="16"/>
      <c r="I20" s="57" t="s">
        <v>473</v>
      </c>
    </row>
    <row r="21" spans="1:9" x14ac:dyDescent="0.25">
      <c r="A21" s="57">
        <v>432</v>
      </c>
      <c r="B21" s="57" t="s">
        <v>608</v>
      </c>
      <c r="C21" s="105" t="s">
        <v>470</v>
      </c>
      <c r="D21" s="57">
        <v>2</v>
      </c>
      <c r="E21" s="16">
        <f t="shared" si="2"/>
        <v>1</v>
      </c>
      <c r="F21" s="16">
        <f t="shared" si="3"/>
        <v>1</v>
      </c>
      <c r="G21" s="57" t="s">
        <v>214</v>
      </c>
      <c r="H21" s="16" t="s">
        <v>215</v>
      </c>
      <c r="I21" s="57" t="s">
        <v>474</v>
      </c>
    </row>
    <row r="22" spans="1:9" x14ac:dyDescent="0.25">
      <c r="A22" s="57">
        <v>432</v>
      </c>
      <c r="B22" s="57" t="s">
        <v>26</v>
      </c>
      <c r="C22" s="105" t="s">
        <v>471</v>
      </c>
      <c r="D22" s="57">
        <v>2</v>
      </c>
      <c r="E22" s="16">
        <f t="shared" si="2"/>
        <v>1</v>
      </c>
      <c r="F22" s="16">
        <f t="shared" si="3"/>
        <v>1</v>
      </c>
      <c r="G22" s="57" t="s">
        <v>444</v>
      </c>
      <c r="H22" s="16"/>
      <c r="I22" s="57" t="s">
        <v>475</v>
      </c>
    </row>
    <row r="23" spans="1:9" ht="63" x14ac:dyDescent="0.25">
      <c r="A23" s="57">
        <v>432</v>
      </c>
      <c r="B23" s="57" t="s">
        <v>239</v>
      </c>
      <c r="C23" s="57">
        <v>11</v>
      </c>
      <c r="D23" s="57">
        <v>1</v>
      </c>
      <c r="E23" s="16">
        <f t="shared" si="2"/>
        <v>1</v>
      </c>
      <c r="F23" s="16">
        <f t="shared" si="3"/>
        <v>1</v>
      </c>
      <c r="G23" s="16" t="s">
        <v>507</v>
      </c>
      <c r="H23" s="16" t="s">
        <v>700</v>
      </c>
      <c r="I23" s="57" t="s">
        <v>476</v>
      </c>
    </row>
    <row r="24" spans="1:9" x14ac:dyDescent="0.25">
      <c r="A24" s="57">
        <v>432</v>
      </c>
      <c r="B24" s="57" t="s">
        <v>581</v>
      </c>
      <c r="C24" s="57">
        <v>12</v>
      </c>
      <c r="D24" s="57">
        <v>1</v>
      </c>
      <c r="E24" s="16">
        <f t="shared" si="2"/>
        <v>1</v>
      </c>
      <c r="F24" s="16">
        <f t="shared" si="3"/>
        <v>1</v>
      </c>
      <c r="G24" s="16" t="s">
        <v>25</v>
      </c>
      <c r="H24" s="16"/>
      <c r="I24" s="57" t="s">
        <v>477</v>
      </c>
    </row>
    <row r="25" spans="1:9" ht="63.75" thickBot="1" x14ac:dyDescent="0.3">
      <c r="A25" s="99">
        <v>432</v>
      </c>
      <c r="B25" s="99" t="s">
        <v>240</v>
      </c>
      <c r="C25" s="106" t="s">
        <v>472</v>
      </c>
      <c r="D25" s="99">
        <v>3</v>
      </c>
      <c r="E25" s="64">
        <f t="shared" si="2"/>
        <v>1</v>
      </c>
      <c r="F25" s="64">
        <f t="shared" si="3"/>
        <v>1</v>
      </c>
      <c r="G25" s="64" t="s">
        <v>508</v>
      </c>
      <c r="H25" s="64" t="s">
        <v>701</v>
      </c>
      <c r="I25" s="99" t="s">
        <v>478</v>
      </c>
    </row>
    <row r="26" spans="1:9" ht="31.5" x14ac:dyDescent="0.25">
      <c r="A26" s="50">
        <v>433</v>
      </c>
      <c r="B26" s="50" t="s">
        <v>241</v>
      </c>
      <c r="C26" s="50">
        <v>0</v>
      </c>
      <c r="D26" s="50">
        <v>1</v>
      </c>
      <c r="E26" s="8">
        <f t="shared" si="2"/>
        <v>1</v>
      </c>
      <c r="F26" s="8">
        <f t="shared" si="3"/>
        <v>1</v>
      </c>
      <c r="G26" s="8" t="s">
        <v>509</v>
      </c>
      <c r="H26" s="8" t="s">
        <v>702</v>
      </c>
      <c r="I26" s="50" t="s">
        <v>482</v>
      </c>
    </row>
    <row r="27" spans="1:9" x14ac:dyDescent="0.25">
      <c r="A27" s="57">
        <v>433</v>
      </c>
      <c r="B27" s="57" t="s">
        <v>26</v>
      </c>
      <c r="C27" s="105" t="s">
        <v>479</v>
      </c>
      <c r="D27" s="57">
        <v>2</v>
      </c>
      <c r="E27" s="16">
        <f t="shared" si="2"/>
        <v>1</v>
      </c>
      <c r="F27" s="16">
        <f t="shared" si="3"/>
        <v>1</v>
      </c>
      <c r="G27" s="57" t="s">
        <v>444</v>
      </c>
      <c r="H27" s="16"/>
      <c r="I27" s="57" t="s">
        <v>483</v>
      </c>
    </row>
    <row r="28" spans="1:9" x14ac:dyDescent="0.25">
      <c r="A28" s="57">
        <v>433</v>
      </c>
      <c r="B28" s="57" t="s">
        <v>26</v>
      </c>
      <c r="C28" s="105" t="s">
        <v>480</v>
      </c>
      <c r="D28" s="57">
        <v>3</v>
      </c>
      <c r="E28" s="16">
        <f t="shared" si="2"/>
        <v>1</v>
      </c>
      <c r="F28" s="16">
        <f t="shared" si="3"/>
        <v>1</v>
      </c>
      <c r="G28" s="57" t="s">
        <v>444</v>
      </c>
      <c r="H28" s="16"/>
      <c r="I28" s="57" t="s">
        <v>484</v>
      </c>
    </row>
    <row r="29" spans="1:9" x14ac:dyDescent="0.25">
      <c r="A29" s="57">
        <v>433</v>
      </c>
      <c r="B29" s="57" t="s">
        <v>26</v>
      </c>
      <c r="C29" s="57">
        <v>6</v>
      </c>
      <c r="D29" s="57">
        <v>1</v>
      </c>
      <c r="E29" s="16">
        <f t="shared" si="2"/>
        <v>1</v>
      </c>
      <c r="F29" s="16">
        <f t="shared" si="3"/>
        <v>1</v>
      </c>
      <c r="G29" s="57" t="s">
        <v>444</v>
      </c>
      <c r="H29" s="16"/>
      <c r="I29" s="57" t="s">
        <v>485</v>
      </c>
    </row>
    <row r="30" spans="1:9" ht="78.75" x14ac:dyDescent="0.25">
      <c r="A30" s="57">
        <v>433</v>
      </c>
      <c r="B30" s="57" t="s">
        <v>242</v>
      </c>
      <c r="C30" s="105" t="s">
        <v>470</v>
      </c>
      <c r="D30" s="57">
        <v>2</v>
      </c>
      <c r="E30" s="16">
        <f t="shared" si="2"/>
        <v>1</v>
      </c>
      <c r="F30" s="16">
        <f t="shared" si="3"/>
        <v>1</v>
      </c>
      <c r="G30" s="16" t="s">
        <v>510</v>
      </c>
      <c r="H30" s="16" t="s">
        <v>703</v>
      </c>
      <c r="I30" s="57" t="s">
        <v>486</v>
      </c>
    </row>
    <row r="31" spans="1:9" ht="126" x14ac:dyDescent="0.25">
      <c r="A31" s="57">
        <v>433</v>
      </c>
      <c r="B31" s="57" t="s">
        <v>243</v>
      </c>
      <c r="C31" s="57">
        <v>9</v>
      </c>
      <c r="D31" s="57">
        <v>1</v>
      </c>
      <c r="E31" s="16">
        <f t="shared" ref="E31:E47" si="4">QUOTIENT(D31+7,8)</f>
        <v>1</v>
      </c>
      <c r="F31" s="16">
        <f t="shared" ref="F31:F47" si="5">QUOTIENT(E31+1,2)</f>
        <v>1</v>
      </c>
      <c r="G31" s="16" t="s">
        <v>511</v>
      </c>
      <c r="H31" s="16" t="s">
        <v>704</v>
      </c>
      <c r="I31" s="57" t="s">
        <v>487</v>
      </c>
    </row>
    <row r="32" spans="1:9" ht="31.5" x14ac:dyDescent="0.25">
      <c r="A32" s="57">
        <v>433</v>
      </c>
      <c r="B32" s="57" t="s">
        <v>244</v>
      </c>
      <c r="C32" s="57">
        <v>10</v>
      </c>
      <c r="D32" s="57">
        <v>1</v>
      </c>
      <c r="E32" s="16">
        <f t="shared" si="4"/>
        <v>1</v>
      </c>
      <c r="F32" s="16">
        <f t="shared" si="5"/>
        <v>1</v>
      </c>
      <c r="G32" s="16" t="s">
        <v>512</v>
      </c>
      <c r="H32" s="16"/>
      <c r="I32" s="57" t="s">
        <v>488</v>
      </c>
    </row>
    <row r="33" spans="1:9" ht="110.25" x14ac:dyDescent="0.25">
      <c r="A33" s="57">
        <v>433</v>
      </c>
      <c r="B33" s="57" t="s">
        <v>245</v>
      </c>
      <c r="C33" s="57">
        <v>11</v>
      </c>
      <c r="D33" s="57">
        <v>1</v>
      </c>
      <c r="E33" s="16">
        <f t="shared" si="4"/>
        <v>1</v>
      </c>
      <c r="F33" s="16">
        <f t="shared" si="5"/>
        <v>1</v>
      </c>
      <c r="G33" s="16" t="s">
        <v>513</v>
      </c>
      <c r="H33" s="16" t="s">
        <v>705</v>
      </c>
      <c r="I33" s="57" t="s">
        <v>489</v>
      </c>
    </row>
    <row r="34" spans="1:9" ht="126" x14ac:dyDescent="0.25">
      <c r="A34" s="57">
        <v>433</v>
      </c>
      <c r="B34" s="57" t="s">
        <v>246</v>
      </c>
      <c r="C34" s="57">
        <v>12</v>
      </c>
      <c r="D34" s="57">
        <v>1</v>
      </c>
      <c r="E34" s="16">
        <f t="shared" si="4"/>
        <v>1</v>
      </c>
      <c r="F34" s="16">
        <f t="shared" si="5"/>
        <v>1</v>
      </c>
      <c r="G34" s="16" t="s">
        <v>514</v>
      </c>
      <c r="H34" s="16" t="s">
        <v>706</v>
      </c>
      <c r="I34" s="57" t="s">
        <v>490</v>
      </c>
    </row>
    <row r="35" spans="1:9" ht="47.25" x14ac:dyDescent="0.25">
      <c r="A35" s="57">
        <v>433</v>
      </c>
      <c r="B35" s="57" t="s">
        <v>247</v>
      </c>
      <c r="C35" s="57">
        <v>13</v>
      </c>
      <c r="D35" s="57">
        <v>1</v>
      </c>
      <c r="E35" s="16">
        <f t="shared" si="4"/>
        <v>1</v>
      </c>
      <c r="F35" s="16">
        <f t="shared" si="5"/>
        <v>1</v>
      </c>
      <c r="G35" s="16" t="s">
        <v>515</v>
      </c>
      <c r="H35" s="16" t="s">
        <v>707</v>
      </c>
      <c r="I35" s="57" t="s">
        <v>491</v>
      </c>
    </row>
    <row r="36" spans="1:9" ht="16.5" thickBot="1" x14ac:dyDescent="0.3">
      <c r="A36" s="99">
        <v>433</v>
      </c>
      <c r="B36" s="99" t="s">
        <v>26</v>
      </c>
      <c r="C36" s="106" t="s">
        <v>481</v>
      </c>
      <c r="D36" s="99">
        <v>2</v>
      </c>
      <c r="E36" s="64">
        <f t="shared" si="4"/>
        <v>1</v>
      </c>
      <c r="F36" s="64">
        <f t="shared" si="5"/>
        <v>1</v>
      </c>
      <c r="G36" s="99" t="s">
        <v>444</v>
      </c>
      <c r="H36" s="64"/>
      <c r="I36" s="99" t="s">
        <v>492</v>
      </c>
    </row>
    <row r="37" spans="1:9" x14ac:dyDescent="0.25">
      <c r="A37" s="50">
        <v>434</v>
      </c>
      <c r="B37" s="50" t="s">
        <v>26</v>
      </c>
      <c r="C37" s="107" t="s">
        <v>493</v>
      </c>
      <c r="D37" s="50">
        <v>3</v>
      </c>
      <c r="E37" s="8">
        <f t="shared" si="4"/>
        <v>1</v>
      </c>
      <c r="F37" s="8">
        <f t="shared" si="5"/>
        <v>1</v>
      </c>
      <c r="G37" s="108" t="s">
        <v>444</v>
      </c>
      <c r="H37" s="8"/>
      <c r="I37" s="57" t="s">
        <v>496</v>
      </c>
    </row>
    <row r="38" spans="1:9" x14ac:dyDescent="0.25">
      <c r="A38" s="57">
        <v>434</v>
      </c>
      <c r="B38" s="57" t="s">
        <v>26</v>
      </c>
      <c r="C38" s="57">
        <v>3</v>
      </c>
      <c r="D38" s="57">
        <v>1</v>
      </c>
      <c r="E38" s="16">
        <f t="shared" si="4"/>
        <v>1</v>
      </c>
      <c r="F38" s="16">
        <f t="shared" si="5"/>
        <v>1</v>
      </c>
      <c r="G38" s="57" t="s">
        <v>444</v>
      </c>
      <c r="H38" s="16"/>
      <c r="I38" s="57" t="s">
        <v>497</v>
      </c>
    </row>
    <row r="39" spans="1:9" x14ac:dyDescent="0.25">
      <c r="A39" s="57">
        <v>434</v>
      </c>
      <c r="B39" s="57" t="s">
        <v>26</v>
      </c>
      <c r="C39" s="105" t="s">
        <v>494</v>
      </c>
      <c r="D39" s="57">
        <v>2</v>
      </c>
      <c r="E39" s="16">
        <f t="shared" si="4"/>
        <v>1</v>
      </c>
      <c r="F39" s="16">
        <f t="shared" si="5"/>
        <v>1</v>
      </c>
      <c r="G39" s="57" t="s">
        <v>444</v>
      </c>
      <c r="H39" s="16"/>
      <c r="I39" s="57" t="s">
        <v>498</v>
      </c>
    </row>
    <row r="40" spans="1:9" ht="31.5" x14ac:dyDescent="0.25">
      <c r="A40" s="57">
        <v>434</v>
      </c>
      <c r="B40" s="57" t="s">
        <v>248</v>
      </c>
      <c r="C40" s="57">
        <v>6</v>
      </c>
      <c r="D40" s="57">
        <v>1</v>
      </c>
      <c r="E40" s="16">
        <f t="shared" si="4"/>
        <v>1</v>
      </c>
      <c r="F40" s="16">
        <f t="shared" si="5"/>
        <v>1</v>
      </c>
      <c r="G40" s="16" t="s">
        <v>516</v>
      </c>
      <c r="H40" s="16"/>
      <c r="I40" s="57" t="s">
        <v>499</v>
      </c>
    </row>
    <row r="41" spans="1:9" x14ac:dyDescent="0.25">
      <c r="A41" s="57">
        <v>434</v>
      </c>
      <c r="B41" s="57" t="s">
        <v>249</v>
      </c>
      <c r="C41" s="57">
        <v>7</v>
      </c>
      <c r="D41" s="57">
        <v>1</v>
      </c>
      <c r="E41" s="16">
        <f t="shared" si="4"/>
        <v>1</v>
      </c>
      <c r="F41" s="16">
        <f t="shared" si="5"/>
        <v>1</v>
      </c>
      <c r="G41" s="57" t="s">
        <v>250</v>
      </c>
      <c r="H41" s="16"/>
      <c r="I41" s="57" t="s">
        <v>500</v>
      </c>
    </row>
    <row r="42" spans="1:9" x14ac:dyDescent="0.25">
      <c r="A42" s="57">
        <v>434</v>
      </c>
      <c r="B42" s="57" t="s">
        <v>251</v>
      </c>
      <c r="C42" s="57">
        <v>8</v>
      </c>
      <c r="D42" s="57">
        <v>1</v>
      </c>
      <c r="E42" s="16">
        <f t="shared" si="4"/>
        <v>1</v>
      </c>
      <c r="F42" s="16">
        <f t="shared" si="5"/>
        <v>1</v>
      </c>
      <c r="G42" s="57" t="s">
        <v>252</v>
      </c>
      <c r="H42" s="16"/>
      <c r="I42" s="57" t="s">
        <v>501</v>
      </c>
    </row>
    <row r="43" spans="1:9" x14ac:dyDescent="0.25">
      <c r="A43" s="57">
        <v>434</v>
      </c>
      <c r="B43" s="57" t="s">
        <v>253</v>
      </c>
      <c r="C43" s="57">
        <v>9</v>
      </c>
      <c r="D43" s="57">
        <v>1</v>
      </c>
      <c r="E43" s="16">
        <f t="shared" si="4"/>
        <v>1</v>
      </c>
      <c r="F43" s="16">
        <f t="shared" si="5"/>
        <v>1</v>
      </c>
      <c r="G43" s="57" t="s">
        <v>254</v>
      </c>
      <c r="H43" s="16"/>
      <c r="I43" s="57" t="s">
        <v>502</v>
      </c>
    </row>
    <row r="44" spans="1:9" ht="31.5" x14ac:dyDescent="0.25">
      <c r="A44" s="57">
        <v>434</v>
      </c>
      <c r="B44" s="57" t="s">
        <v>255</v>
      </c>
      <c r="C44" s="57">
        <v>10</v>
      </c>
      <c r="D44" s="57">
        <v>1</v>
      </c>
      <c r="E44" s="16">
        <f t="shared" si="4"/>
        <v>1</v>
      </c>
      <c r="F44" s="16">
        <f t="shared" si="5"/>
        <v>1</v>
      </c>
      <c r="G44" s="16" t="s">
        <v>517</v>
      </c>
      <c r="H44" s="16"/>
      <c r="I44" s="57" t="s">
        <v>503</v>
      </c>
    </row>
    <row r="45" spans="1:9" x14ac:dyDescent="0.25">
      <c r="A45" s="57">
        <v>434</v>
      </c>
      <c r="B45" s="57" t="s">
        <v>256</v>
      </c>
      <c r="C45" s="57">
        <v>11</v>
      </c>
      <c r="D45" s="57">
        <v>1</v>
      </c>
      <c r="E45" s="16">
        <f t="shared" si="4"/>
        <v>1</v>
      </c>
      <c r="F45" s="16">
        <f t="shared" si="5"/>
        <v>1</v>
      </c>
      <c r="G45" s="57" t="s">
        <v>257</v>
      </c>
      <c r="H45" s="16"/>
      <c r="I45" s="57" t="s">
        <v>504</v>
      </c>
    </row>
    <row r="46" spans="1:9" ht="16.5" thickBot="1" x14ac:dyDescent="0.3">
      <c r="A46" s="99">
        <v>434</v>
      </c>
      <c r="B46" s="99" t="s">
        <v>26</v>
      </c>
      <c r="C46" s="106" t="s">
        <v>495</v>
      </c>
      <c r="D46" s="99">
        <v>4</v>
      </c>
      <c r="E46" s="64">
        <f t="shared" si="4"/>
        <v>1</v>
      </c>
      <c r="F46" s="64">
        <f t="shared" si="5"/>
        <v>1</v>
      </c>
      <c r="G46" s="99" t="s">
        <v>444</v>
      </c>
      <c r="H46" s="64"/>
      <c r="I46" s="99" t="s">
        <v>505</v>
      </c>
    </row>
    <row r="47" spans="1:9" ht="16.5" thickBot="1" x14ac:dyDescent="0.3">
      <c r="A47" s="49">
        <v>435</v>
      </c>
      <c r="B47" s="49" t="s">
        <v>26</v>
      </c>
      <c r="C47" s="65" t="s">
        <v>311</v>
      </c>
      <c r="D47" s="49">
        <v>16</v>
      </c>
      <c r="E47" s="66">
        <f t="shared" si="4"/>
        <v>2</v>
      </c>
      <c r="F47" s="66">
        <f t="shared" si="5"/>
        <v>1</v>
      </c>
      <c r="G47" s="49" t="s">
        <v>444</v>
      </c>
      <c r="H47" s="66"/>
      <c r="I47" s="99" t="s">
        <v>518</v>
      </c>
    </row>
    <row r="48" spans="1:9" x14ac:dyDescent="0.25">
      <c r="A48" s="50">
        <v>436</v>
      </c>
      <c r="B48" s="50" t="s">
        <v>26</v>
      </c>
      <c r="C48" s="50">
        <v>0</v>
      </c>
      <c r="D48" s="50">
        <v>1</v>
      </c>
      <c r="E48" s="8">
        <f t="shared" ref="E48" si="6">QUOTIENT(D48+7,8)</f>
        <v>1</v>
      </c>
      <c r="F48" s="8">
        <f t="shared" ref="F48" si="7">QUOTIENT(E48+1,2)</f>
        <v>1</v>
      </c>
      <c r="G48" s="50" t="s">
        <v>444</v>
      </c>
      <c r="H48" s="8"/>
      <c r="I48" s="57" t="s">
        <v>519</v>
      </c>
    </row>
    <row r="49" spans="1:9" x14ac:dyDescent="0.25">
      <c r="A49" s="57">
        <v>436</v>
      </c>
      <c r="B49" s="57" t="s">
        <v>26</v>
      </c>
      <c r="C49" s="57">
        <v>1</v>
      </c>
      <c r="D49" s="57">
        <v>1</v>
      </c>
      <c r="E49" s="16">
        <f t="shared" ref="E49:E63" si="8">QUOTIENT(D49+7,8)</f>
        <v>1</v>
      </c>
      <c r="F49" s="16">
        <f t="shared" ref="F49:F63" si="9">QUOTIENT(E49+1,2)</f>
        <v>1</v>
      </c>
      <c r="G49" s="57" t="s">
        <v>444</v>
      </c>
      <c r="H49" s="16"/>
      <c r="I49" s="57" t="s">
        <v>519</v>
      </c>
    </row>
    <row r="50" spans="1:9" x14ac:dyDescent="0.25">
      <c r="A50" s="57">
        <v>436</v>
      </c>
      <c r="B50" s="57" t="s">
        <v>26</v>
      </c>
      <c r="C50" s="57">
        <v>2</v>
      </c>
      <c r="D50" s="57">
        <v>1</v>
      </c>
      <c r="E50" s="16">
        <f t="shared" si="8"/>
        <v>1</v>
      </c>
      <c r="F50" s="16">
        <f t="shared" si="9"/>
        <v>1</v>
      </c>
      <c r="G50" s="57" t="s">
        <v>444</v>
      </c>
      <c r="H50" s="16"/>
      <c r="I50" s="57" t="s">
        <v>519</v>
      </c>
    </row>
    <row r="51" spans="1:9" x14ac:dyDescent="0.25">
      <c r="A51" s="57">
        <v>436</v>
      </c>
      <c r="B51" s="57" t="s">
        <v>26</v>
      </c>
      <c r="C51" s="57">
        <v>3</v>
      </c>
      <c r="D51" s="57">
        <v>1</v>
      </c>
      <c r="E51" s="16">
        <f t="shared" si="8"/>
        <v>1</v>
      </c>
      <c r="F51" s="16">
        <f t="shared" si="9"/>
        <v>1</v>
      </c>
      <c r="G51" s="57" t="s">
        <v>444</v>
      </c>
      <c r="H51" s="16"/>
      <c r="I51" s="57" t="s">
        <v>519</v>
      </c>
    </row>
    <row r="52" spans="1:9" ht="31.5" x14ac:dyDescent="0.25">
      <c r="A52" s="57">
        <v>436</v>
      </c>
      <c r="B52" s="57" t="s">
        <v>220</v>
      </c>
      <c r="C52" s="57">
        <v>4</v>
      </c>
      <c r="D52" s="57">
        <v>1</v>
      </c>
      <c r="E52" s="16">
        <f t="shared" si="8"/>
        <v>1</v>
      </c>
      <c r="F52" s="16">
        <f t="shared" si="9"/>
        <v>1</v>
      </c>
      <c r="G52" s="16" t="s">
        <v>506</v>
      </c>
      <c r="H52" s="16"/>
      <c r="I52" s="57" t="s">
        <v>519</v>
      </c>
    </row>
    <row r="53" spans="1:9" x14ac:dyDescent="0.25">
      <c r="A53" s="57">
        <v>436</v>
      </c>
      <c r="B53" s="57" t="s">
        <v>26</v>
      </c>
      <c r="C53" s="57">
        <v>5</v>
      </c>
      <c r="D53" s="57">
        <v>1</v>
      </c>
      <c r="E53" s="16">
        <f t="shared" si="8"/>
        <v>1</v>
      </c>
      <c r="F53" s="16">
        <f t="shared" si="9"/>
        <v>1</v>
      </c>
      <c r="G53" s="57" t="s">
        <v>444</v>
      </c>
      <c r="H53" s="16"/>
      <c r="I53" s="57" t="s">
        <v>519</v>
      </c>
    </row>
    <row r="54" spans="1:9" x14ac:dyDescent="0.25">
      <c r="A54" s="57">
        <v>436</v>
      </c>
      <c r="B54" s="57" t="s">
        <v>26</v>
      </c>
      <c r="C54" s="57">
        <v>6</v>
      </c>
      <c r="D54" s="57">
        <v>1</v>
      </c>
      <c r="E54" s="16">
        <f t="shared" si="8"/>
        <v>1</v>
      </c>
      <c r="F54" s="16">
        <f t="shared" si="9"/>
        <v>1</v>
      </c>
      <c r="G54" s="57" t="s">
        <v>444</v>
      </c>
      <c r="H54" s="16"/>
      <c r="I54" s="57" t="s">
        <v>519</v>
      </c>
    </row>
    <row r="55" spans="1:9" x14ac:dyDescent="0.25">
      <c r="A55" s="57">
        <v>436</v>
      </c>
      <c r="B55" s="57" t="s">
        <v>221</v>
      </c>
      <c r="C55" s="57">
        <v>7</v>
      </c>
      <c r="D55" s="57">
        <v>1</v>
      </c>
      <c r="E55" s="16">
        <f t="shared" si="8"/>
        <v>1</v>
      </c>
      <c r="F55" s="16">
        <f t="shared" si="9"/>
        <v>1</v>
      </c>
      <c r="G55" s="57" t="s">
        <v>222</v>
      </c>
      <c r="H55" s="16"/>
      <c r="I55" s="57" t="s">
        <v>520</v>
      </c>
    </row>
    <row r="56" spans="1:9" x14ac:dyDescent="0.25">
      <c r="A56" s="57">
        <v>436</v>
      </c>
      <c r="B56" s="57" t="s">
        <v>223</v>
      </c>
      <c r="C56" s="57">
        <v>8</v>
      </c>
      <c r="D56" s="57">
        <v>1</v>
      </c>
      <c r="E56" s="16">
        <f t="shared" si="8"/>
        <v>1</v>
      </c>
      <c r="F56" s="16">
        <f t="shared" si="9"/>
        <v>1</v>
      </c>
      <c r="G56" s="57" t="s">
        <v>224</v>
      </c>
      <c r="H56" s="16"/>
      <c r="I56" s="57" t="s">
        <v>521</v>
      </c>
    </row>
    <row r="57" spans="1:9" x14ac:dyDescent="0.25">
      <c r="A57" s="57">
        <v>436</v>
      </c>
      <c r="B57" s="57" t="s">
        <v>225</v>
      </c>
      <c r="C57" s="57">
        <v>9</v>
      </c>
      <c r="D57" s="57">
        <v>1</v>
      </c>
      <c r="E57" s="16">
        <f t="shared" si="8"/>
        <v>1</v>
      </c>
      <c r="F57" s="16">
        <f t="shared" si="9"/>
        <v>1</v>
      </c>
      <c r="G57" s="57" t="s">
        <v>226</v>
      </c>
      <c r="H57" s="16"/>
      <c r="I57" s="57" t="s">
        <v>522</v>
      </c>
    </row>
    <row r="58" spans="1:9" x14ac:dyDescent="0.25">
      <c r="A58" s="57">
        <v>436</v>
      </c>
      <c r="B58" s="57" t="s">
        <v>227</v>
      </c>
      <c r="C58" s="57">
        <v>10</v>
      </c>
      <c r="D58" s="57">
        <v>1</v>
      </c>
      <c r="E58" s="16">
        <f t="shared" si="8"/>
        <v>1</v>
      </c>
      <c r="F58" s="16">
        <f t="shared" si="9"/>
        <v>1</v>
      </c>
      <c r="G58" s="57" t="s">
        <v>228</v>
      </c>
      <c r="H58" s="16"/>
      <c r="I58" s="57" t="s">
        <v>523</v>
      </c>
    </row>
    <row r="59" spans="1:9" x14ac:dyDescent="0.25">
      <c r="A59" s="57">
        <v>436</v>
      </c>
      <c r="B59" s="57" t="s">
        <v>229</v>
      </c>
      <c r="C59" s="57">
        <v>11</v>
      </c>
      <c r="D59" s="57">
        <v>1</v>
      </c>
      <c r="E59" s="16">
        <f t="shared" si="8"/>
        <v>1</v>
      </c>
      <c r="F59" s="16">
        <f t="shared" si="9"/>
        <v>1</v>
      </c>
      <c r="G59" s="57" t="s">
        <v>230</v>
      </c>
      <c r="H59" s="16"/>
      <c r="I59" s="57" t="s">
        <v>524</v>
      </c>
    </row>
    <row r="60" spans="1:9" x14ac:dyDescent="0.25">
      <c r="A60" s="57">
        <v>436</v>
      </c>
      <c r="B60" s="57" t="s">
        <v>231</v>
      </c>
      <c r="C60" s="57">
        <v>12</v>
      </c>
      <c r="D60" s="57">
        <v>1</v>
      </c>
      <c r="E60" s="16">
        <f t="shared" si="8"/>
        <v>1</v>
      </c>
      <c r="F60" s="16">
        <f t="shared" si="9"/>
        <v>1</v>
      </c>
      <c r="G60" s="57" t="s">
        <v>232</v>
      </c>
      <c r="H60" s="16"/>
      <c r="I60" s="57" t="s">
        <v>525</v>
      </c>
    </row>
    <row r="61" spans="1:9" x14ac:dyDescent="0.25">
      <c r="A61" s="57">
        <v>436</v>
      </c>
      <c r="B61" s="57" t="s">
        <v>233</v>
      </c>
      <c r="C61" s="57">
        <v>13</v>
      </c>
      <c r="D61" s="57">
        <v>1</v>
      </c>
      <c r="E61" s="16">
        <f t="shared" si="8"/>
        <v>1</v>
      </c>
      <c r="F61" s="16">
        <f t="shared" si="9"/>
        <v>1</v>
      </c>
      <c r="G61" s="57" t="s">
        <v>234</v>
      </c>
      <c r="H61" s="16"/>
      <c r="I61" s="57" t="s">
        <v>526</v>
      </c>
    </row>
    <row r="62" spans="1:9" x14ac:dyDescent="0.25">
      <c r="A62" s="57">
        <v>436</v>
      </c>
      <c r="B62" s="57" t="s">
        <v>235</v>
      </c>
      <c r="C62" s="57">
        <v>14</v>
      </c>
      <c r="D62" s="57">
        <v>1</v>
      </c>
      <c r="E62" s="16">
        <f t="shared" si="8"/>
        <v>1</v>
      </c>
      <c r="F62" s="16">
        <f t="shared" si="9"/>
        <v>1</v>
      </c>
      <c r="G62" s="57" t="s">
        <v>236</v>
      </c>
      <c r="H62" s="16"/>
      <c r="I62" s="57" t="s">
        <v>527</v>
      </c>
    </row>
    <row r="63" spans="1:9" ht="16.5" thickBot="1" x14ac:dyDescent="0.3">
      <c r="A63" s="99">
        <v>436</v>
      </c>
      <c r="B63" s="99" t="s">
        <v>26</v>
      </c>
      <c r="C63" s="99">
        <v>15</v>
      </c>
      <c r="D63" s="99">
        <v>1</v>
      </c>
      <c r="E63" s="64">
        <f t="shared" si="8"/>
        <v>1</v>
      </c>
      <c r="F63" s="64">
        <f t="shared" si="9"/>
        <v>1</v>
      </c>
      <c r="G63" s="99" t="s">
        <v>444</v>
      </c>
      <c r="H63" s="64"/>
      <c r="I63" s="99" t="s">
        <v>519</v>
      </c>
    </row>
    <row r="64" spans="1:9" ht="16.5" thickBot="1" x14ac:dyDescent="0.3">
      <c r="A64" s="49">
        <v>437</v>
      </c>
      <c r="B64" s="49" t="s">
        <v>26</v>
      </c>
      <c r="C64" s="90" t="s">
        <v>311</v>
      </c>
      <c r="D64" s="49">
        <v>16</v>
      </c>
      <c r="E64" s="66">
        <f t="shared" ref="E64:E65" si="10">QUOTIENT(D64+7,8)</f>
        <v>2</v>
      </c>
      <c r="F64" s="66">
        <f t="shared" ref="F64:F65" si="11">QUOTIENT(E64+1,2)</f>
        <v>1</v>
      </c>
      <c r="G64" s="49" t="s">
        <v>444</v>
      </c>
      <c r="H64" s="66"/>
      <c r="I64" s="49" t="s">
        <v>528</v>
      </c>
    </row>
    <row r="65" spans="1:9" ht="48" thickBot="1" x14ac:dyDescent="0.3">
      <c r="A65" s="58">
        <v>438</v>
      </c>
      <c r="B65" s="58" t="s">
        <v>534</v>
      </c>
      <c r="C65" s="90" t="s">
        <v>311</v>
      </c>
      <c r="D65" s="58">
        <v>16</v>
      </c>
      <c r="E65" s="91">
        <f t="shared" si="10"/>
        <v>2</v>
      </c>
      <c r="F65" s="91">
        <f t="shared" si="11"/>
        <v>1</v>
      </c>
      <c r="G65" s="91" t="s">
        <v>535</v>
      </c>
      <c r="H65" s="91"/>
      <c r="I65" s="58"/>
    </row>
    <row r="66" spans="1:9" ht="48" thickBot="1" x14ac:dyDescent="0.3">
      <c r="A66" s="58">
        <v>439</v>
      </c>
      <c r="B66" s="58" t="s">
        <v>542</v>
      </c>
      <c r="C66" s="90" t="s">
        <v>311</v>
      </c>
      <c r="D66" s="58">
        <v>16</v>
      </c>
      <c r="E66" s="91">
        <f t="shared" ref="E66:E67" si="12">QUOTIENT(D66+7,8)</f>
        <v>2</v>
      </c>
      <c r="F66" s="91">
        <f t="shared" ref="F66:F67" si="13">QUOTIENT(E66+1,2)</f>
        <v>1</v>
      </c>
      <c r="G66" s="91" t="s">
        <v>535</v>
      </c>
      <c r="H66" s="91"/>
      <c r="I66" s="58"/>
    </row>
    <row r="67" spans="1:9" ht="48" thickBot="1" x14ac:dyDescent="0.3">
      <c r="A67" s="111" t="s">
        <v>536</v>
      </c>
      <c r="B67" s="58" t="s">
        <v>543</v>
      </c>
      <c r="C67" s="90" t="s">
        <v>311</v>
      </c>
      <c r="D67" s="58">
        <v>16</v>
      </c>
      <c r="E67" s="91">
        <f t="shared" si="12"/>
        <v>2</v>
      </c>
      <c r="F67" s="91">
        <f t="shared" si="13"/>
        <v>1</v>
      </c>
      <c r="G67" s="91" t="s">
        <v>535</v>
      </c>
      <c r="H67" s="91"/>
      <c r="I67" s="58"/>
    </row>
    <row r="68" spans="1:9" ht="48" thickBot="1" x14ac:dyDescent="0.3">
      <c r="A68" s="111" t="s">
        <v>537</v>
      </c>
      <c r="B68" s="58" t="s">
        <v>544</v>
      </c>
      <c r="C68" s="90" t="s">
        <v>311</v>
      </c>
      <c r="D68" s="58">
        <v>16</v>
      </c>
      <c r="E68" s="91">
        <f t="shared" ref="E68:E72" si="14">QUOTIENT(D68+7,8)</f>
        <v>2</v>
      </c>
      <c r="F68" s="91">
        <f t="shared" ref="F68:F72" si="15">QUOTIENT(E68+1,2)</f>
        <v>1</v>
      </c>
      <c r="G68" s="91" t="s">
        <v>535</v>
      </c>
      <c r="H68" s="91"/>
      <c r="I68" s="58"/>
    </row>
    <row r="69" spans="1:9" ht="48" thickBot="1" x14ac:dyDescent="0.3">
      <c r="A69" s="111" t="s">
        <v>538</v>
      </c>
      <c r="B69" s="58" t="s">
        <v>545</v>
      </c>
      <c r="C69" s="90" t="s">
        <v>311</v>
      </c>
      <c r="D69" s="58">
        <v>16</v>
      </c>
      <c r="E69" s="91">
        <f t="shared" si="14"/>
        <v>2</v>
      </c>
      <c r="F69" s="91">
        <f t="shared" si="15"/>
        <v>1</v>
      </c>
      <c r="G69" s="91" t="s">
        <v>535</v>
      </c>
      <c r="H69" s="91"/>
      <c r="I69" s="58"/>
    </row>
    <row r="70" spans="1:9" ht="48" thickBot="1" x14ac:dyDescent="0.3">
      <c r="A70" s="111" t="s">
        <v>539</v>
      </c>
      <c r="B70" s="58" t="s">
        <v>546</v>
      </c>
      <c r="C70" s="90" t="s">
        <v>311</v>
      </c>
      <c r="D70" s="58">
        <v>16</v>
      </c>
      <c r="E70" s="91">
        <f t="shared" si="14"/>
        <v>2</v>
      </c>
      <c r="F70" s="91">
        <f t="shared" si="15"/>
        <v>1</v>
      </c>
      <c r="G70" s="91" t="s">
        <v>535</v>
      </c>
      <c r="H70" s="91"/>
      <c r="I70" s="58"/>
    </row>
    <row r="71" spans="1:9" ht="48" thickBot="1" x14ac:dyDescent="0.3">
      <c r="A71" s="111" t="s">
        <v>540</v>
      </c>
      <c r="B71" s="58" t="s">
        <v>547</v>
      </c>
      <c r="C71" s="90" t="s">
        <v>311</v>
      </c>
      <c r="D71" s="58">
        <v>16</v>
      </c>
      <c r="E71" s="91">
        <f t="shared" si="14"/>
        <v>2</v>
      </c>
      <c r="F71" s="91">
        <f t="shared" si="15"/>
        <v>1</v>
      </c>
      <c r="G71" s="91" t="s">
        <v>535</v>
      </c>
      <c r="H71" s="91"/>
      <c r="I71" s="58"/>
    </row>
    <row r="72" spans="1:9" ht="48" thickBot="1" x14ac:dyDescent="0.3">
      <c r="A72" s="111" t="s">
        <v>541</v>
      </c>
      <c r="B72" s="58" t="s">
        <v>548</v>
      </c>
      <c r="C72" s="90" t="s">
        <v>311</v>
      </c>
      <c r="D72" s="58">
        <v>16</v>
      </c>
      <c r="E72" s="91">
        <f t="shared" si="14"/>
        <v>2</v>
      </c>
      <c r="F72" s="91">
        <f t="shared" si="15"/>
        <v>1</v>
      </c>
      <c r="G72" s="91" t="s">
        <v>535</v>
      </c>
      <c r="H72" s="91"/>
      <c r="I72" s="58"/>
    </row>
    <row r="73" spans="1:9" ht="16.5" thickBot="1" x14ac:dyDescent="0.3">
      <c r="A73" s="113" t="str">
        <f>DEC2HEX(HEX2DEC(A72)+F72)</f>
        <v>440</v>
      </c>
      <c r="B73" s="13" t="s">
        <v>22</v>
      </c>
      <c r="C73" s="59"/>
      <c r="D73" s="59">
        <f>SUM(D2:D72)</f>
        <v>256</v>
      </c>
      <c r="E73" s="12">
        <f>QUOTIENT(D73+7,8)</f>
        <v>32</v>
      </c>
      <c r="F73" s="12">
        <f>QUOTIENT(E73+1,2)</f>
        <v>16</v>
      </c>
      <c r="G73" s="59"/>
      <c r="H73" s="59"/>
      <c r="I73" s="59"/>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36DFC-13B5-4EAE-B5FD-6121913739AC}">
  <dimension ref="A1:H6"/>
  <sheetViews>
    <sheetView zoomScaleNormal="100" workbookViewId="0">
      <pane ySplit="1" topLeftCell="A2" activePane="bottomLeft" state="frozen"/>
      <selection pane="bottomLeft" activeCell="B24" sqref="B24"/>
    </sheetView>
  </sheetViews>
  <sheetFormatPr defaultColWidth="9" defaultRowHeight="15.75" x14ac:dyDescent="0.25"/>
  <cols>
    <col min="1" max="1" width="20.875" style="11" customWidth="1"/>
    <col min="2" max="2" width="35.75" style="11" customWidth="1"/>
    <col min="3" max="3" width="14.125" style="11" customWidth="1"/>
    <col min="4" max="4" width="10" style="11" customWidth="1"/>
    <col min="5" max="5" width="12.5" style="11" customWidth="1"/>
    <col min="6" max="6" width="12.875" style="11" customWidth="1"/>
    <col min="7" max="7" width="67.375" style="11" customWidth="1"/>
    <col min="8" max="8" width="23.125" style="11" hidden="1" customWidth="1"/>
    <col min="9" max="16384" width="9" style="11"/>
  </cols>
  <sheetData>
    <row r="1" spans="1:8" s="6" customFormat="1" ht="19.5" thickBot="1" x14ac:dyDescent="0.3">
      <c r="A1" s="110" t="s">
        <v>306</v>
      </c>
      <c r="B1" s="110" t="s">
        <v>529</v>
      </c>
      <c r="C1" s="110" t="s">
        <v>308</v>
      </c>
      <c r="D1" s="110" t="s">
        <v>312</v>
      </c>
      <c r="E1" s="110" t="s">
        <v>313</v>
      </c>
      <c r="F1" s="110" t="s">
        <v>314</v>
      </c>
      <c r="G1" s="110" t="s">
        <v>18</v>
      </c>
      <c r="H1" s="110" t="s">
        <v>19</v>
      </c>
    </row>
    <row r="2" spans="1:8" ht="16.5" thickBot="1" x14ac:dyDescent="0.3">
      <c r="A2" s="156" t="s">
        <v>549</v>
      </c>
      <c r="B2" s="157" t="s">
        <v>630</v>
      </c>
      <c r="C2" s="158" t="s">
        <v>632</v>
      </c>
      <c r="D2" s="66">
        <v>5120</v>
      </c>
      <c r="E2" s="66">
        <f t="shared" ref="E2" si="0">QUOTIENT(D2+7,8)</f>
        <v>640</v>
      </c>
      <c r="F2" s="66">
        <f t="shared" ref="F2" si="1">QUOTIENT(E2+1,2)</f>
        <v>320</v>
      </c>
      <c r="G2" s="159" t="s">
        <v>708</v>
      </c>
      <c r="H2" s="10"/>
    </row>
    <row r="3" spans="1:8" ht="16.5" thickBot="1" x14ac:dyDescent="0.3">
      <c r="A3" s="156" t="s">
        <v>633</v>
      </c>
      <c r="B3" s="157" t="s">
        <v>631</v>
      </c>
      <c r="C3" s="158" t="s">
        <v>632</v>
      </c>
      <c r="D3" s="66">
        <v>5120</v>
      </c>
      <c r="E3" s="66">
        <f t="shared" ref="E3:E4" si="2">QUOTIENT(D3+7,8)</f>
        <v>640</v>
      </c>
      <c r="F3" s="66">
        <f t="shared" ref="F3:F4" si="3">QUOTIENT(E3+1,2)</f>
        <v>320</v>
      </c>
      <c r="G3" s="159" t="s">
        <v>708</v>
      </c>
      <c r="H3" s="150"/>
    </row>
    <row r="4" spans="1:8" ht="16.5" thickBot="1" x14ac:dyDescent="0.3">
      <c r="A4" s="156" t="s">
        <v>634</v>
      </c>
      <c r="B4" s="165" t="s">
        <v>21</v>
      </c>
      <c r="C4" s="158" t="s">
        <v>743</v>
      </c>
      <c r="D4" s="66">
        <v>37888</v>
      </c>
      <c r="E4" s="66">
        <f t="shared" si="2"/>
        <v>4736</v>
      </c>
      <c r="F4" s="66">
        <f t="shared" si="3"/>
        <v>2368</v>
      </c>
      <c r="G4" s="159" t="s">
        <v>744</v>
      </c>
      <c r="H4" s="150"/>
    </row>
    <row r="5" spans="1:8" ht="19.5" customHeight="1" thickBot="1" x14ac:dyDescent="0.3">
      <c r="A5" s="113" t="str">
        <f>DEC2HEX(HEX2DEC(A4)+F4)</f>
        <v>1000</v>
      </c>
      <c r="B5" s="13" t="s">
        <v>22</v>
      </c>
      <c r="C5" s="59"/>
      <c r="D5" s="12">
        <f>SUM(D2:D4)</f>
        <v>48128</v>
      </c>
      <c r="E5" s="12">
        <f>SUM(E2:E4)</f>
        <v>6016</v>
      </c>
      <c r="F5" s="12">
        <f>SUM(F2:F4)</f>
        <v>3008</v>
      </c>
      <c r="G5" s="12"/>
      <c r="H5" s="14"/>
    </row>
    <row r="6" spans="1:8" ht="17.25" customHeight="1" x14ac:dyDescent="0.25">
      <c r="A6" s="114" t="str">
        <f>DEC2HEX(F6)</f>
        <v>BC0</v>
      </c>
      <c r="B6" s="8" t="s">
        <v>23</v>
      </c>
      <c r="C6" s="8"/>
      <c r="D6" s="8">
        <f>F5*16</f>
        <v>48128</v>
      </c>
      <c r="E6" s="8">
        <f t="shared" ref="E6" si="4">QUOTIENT(D6+7,8)</f>
        <v>6016</v>
      </c>
      <c r="F6" s="8">
        <f t="shared" ref="F6" si="5">QUOTIENT(E6+1,2)</f>
        <v>3008</v>
      </c>
    </row>
  </sheetData>
  <phoneticPr fontId="1" type="noConversion"/>
  <pageMargins left="0.7" right="0.7" top="0.75" bottom="0.75" header="0.3" footer="0.3"/>
  <pageSetup paperSize="9" scale="4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87E6-3E20-4B58-B86F-B6CCDE7070A5}">
  <dimension ref="A1:H44"/>
  <sheetViews>
    <sheetView workbookViewId="0">
      <selection activeCell="E32" sqref="E32"/>
    </sheetView>
  </sheetViews>
  <sheetFormatPr defaultRowHeight="15.75" x14ac:dyDescent="0.25"/>
  <cols>
    <col min="1" max="1" width="21.125" style="48" customWidth="1"/>
    <col min="2" max="2" width="30.375" style="48" customWidth="1"/>
    <col min="3" max="3" width="8.75" style="48" customWidth="1"/>
    <col min="4" max="4" width="10.875" style="48" customWidth="1"/>
    <col min="5" max="5" width="12.75" style="48" customWidth="1"/>
    <col min="6" max="6" width="12.125" style="48" customWidth="1"/>
    <col min="7" max="7" width="45.5" style="48" customWidth="1"/>
    <col min="8" max="8" width="32.375" style="48" customWidth="1"/>
    <col min="9" max="16384" width="9" style="48"/>
  </cols>
  <sheetData>
    <row r="1" spans="1:8" ht="19.5" thickBot="1" x14ac:dyDescent="0.3">
      <c r="A1" s="110" t="s">
        <v>306</v>
      </c>
      <c r="B1" s="110" t="s">
        <v>529</v>
      </c>
      <c r="C1" s="110" t="s">
        <v>308</v>
      </c>
      <c r="D1" s="110" t="s">
        <v>312</v>
      </c>
      <c r="E1" s="110" t="s">
        <v>313</v>
      </c>
      <c r="F1" s="110" t="s">
        <v>314</v>
      </c>
      <c r="G1" s="110" t="s">
        <v>18</v>
      </c>
      <c r="H1" s="110" t="s">
        <v>19</v>
      </c>
    </row>
    <row r="2" spans="1:8" x14ac:dyDescent="0.25">
      <c r="A2" s="116">
        <v>1000</v>
      </c>
      <c r="B2" s="108" t="s">
        <v>259</v>
      </c>
      <c r="C2" s="115" t="s">
        <v>307</v>
      </c>
      <c r="D2" s="108">
        <v>32</v>
      </c>
      <c r="E2" s="21">
        <f t="shared" ref="E2" si="0">QUOTIENT(D2+7,8)</f>
        <v>4</v>
      </c>
      <c r="F2" s="21">
        <f t="shared" ref="F2" si="1">QUOTIENT(E2+1,2)</f>
        <v>2</v>
      </c>
      <c r="G2" s="108" t="s">
        <v>709</v>
      </c>
      <c r="H2" s="21" t="s">
        <v>258</v>
      </c>
    </row>
    <row r="3" spans="1:8" x14ac:dyDescent="0.25">
      <c r="A3" s="116" t="str">
        <f>DEC2HEX(HEX2DEC(A2)+F2)</f>
        <v>1002</v>
      </c>
      <c r="B3" s="108" t="s">
        <v>260</v>
      </c>
      <c r="C3" s="115" t="s">
        <v>307</v>
      </c>
      <c r="D3" s="108">
        <v>32</v>
      </c>
      <c r="E3" s="21">
        <f t="shared" ref="E3:E23" si="2">QUOTIENT(D3+7,8)</f>
        <v>4</v>
      </c>
      <c r="F3" s="21">
        <f t="shared" ref="F3:F23" si="3">QUOTIENT(E3+1,2)</f>
        <v>2</v>
      </c>
      <c r="G3" s="108" t="s">
        <v>709</v>
      </c>
      <c r="H3" s="21" t="s">
        <v>258</v>
      </c>
    </row>
    <row r="4" spans="1:8" x14ac:dyDescent="0.25">
      <c r="A4" s="116" t="str">
        <f t="shared" ref="A4:A23" si="4">DEC2HEX(HEX2DEC(A3)+F3)</f>
        <v>1004</v>
      </c>
      <c r="B4" s="108" t="s">
        <v>261</v>
      </c>
      <c r="C4" s="115" t="s">
        <v>307</v>
      </c>
      <c r="D4" s="108">
        <v>32</v>
      </c>
      <c r="E4" s="21">
        <f t="shared" si="2"/>
        <v>4</v>
      </c>
      <c r="F4" s="21">
        <f t="shared" si="3"/>
        <v>2</v>
      </c>
      <c r="G4" s="108" t="s">
        <v>709</v>
      </c>
      <c r="H4" s="21" t="s">
        <v>258</v>
      </c>
    </row>
    <row r="5" spans="1:8" x14ac:dyDescent="0.25">
      <c r="A5" s="116" t="str">
        <f t="shared" si="4"/>
        <v>1006</v>
      </c>
      <c r="B5" s="108" t="s">
        <v>262</v>
      </c>
      <c r="C5" s="115" t="s">
        <v>307</v>
      </c>
      <c r="D5" s="108">
        <v>32</v>
      </c>
      <c r="E5" s="21">
        <f t="shared" si="2"/>
        <v>4</v>
      </c>
      <c r="F5" s="21">
        <f t="shared" si="3"/>
        <v>2</v>
      </c>
      <c r="G5" s="108" t="s">
        <v>709</v>
      </c>
      <c r="H5" s="21" t="s">
        <v>258</v>
      </c>
    </row>
    <row r="6" spans="1:8" x14ac:dyDescent="0.25">
      <c r="A6" s="116" t="str">
        <f t="shared" si="4"/>
        <v>1008</v>
      </c>
      <c r="B6" s="108" t="s">
        <v>263</v>
      </c>
      <c r="C6" s="115" t="s">
        <v>307</v>
      </c>
      <c r="D6" s="108">
        <v>32</v>
      </c>
      <c r="E6" s="21">
        <f t="shared" si="2"/>
        <v>4</v>
      </c>
      <c r="F6" s="21">
        <f t="shared" si="3"/>
        <v>2</v>
      </c>
      <c r="G6" s="108" t="s">
        <v>709</v>
      </c>
      <c r="H6" s="21" t="s">
        <v>258</v>
      </c>
    </row>
    <row r="7" spans="1:8" x14ac:dyDescent="0.25">
      <c r="A7" s="116" t="str">
        <f t="shared" si="4"/>
        <v>100A</v>
      </c>
      <c r="B7" s="108" t="s">
        <v>264</v>
      </c>
      <c r="C7" s="115" t="s">
        <v>307</v>
      </c>
      <c r="D7" s="108">
        <v>32</v>
      </c>
      <c r="E7" s="21">
        <f t="shared" si="2"/>
        <v>4</v>
      </c>
      <c r="F7" s="21">
        <f t="shared" si="3"/>
        <v>2</v>
      </c>
      <c r="G7" s="108" t="s">
        <v>709</v>
      </c>
      <c r="H7" s="21" t="s">
        <v>258</v>
      </c>
    </row>
    <row r="8" spans="1:8" x14ac:dyDescent="0.25">
      <c r="A8" s="116" t="str">
        <f t="shared" si="4"/>
        <v>100C</v>
      </c>
      <c r="B8" s="108" t="s">
        <v>265</v>
      </c>
      <c r="C8" s="115" t="s">
        <v>307</v>
      </c>
      <c r="D8" s="108">
        <v>32</v>
      </c>
      <c r="E8" s="21">
        <f t="shared" si="2"/>
        <v>4</v>
      </c>
      <c r="F8" s="21">
        <f t="shared" si="3"/>
        <v>2</v>
      </c>
      <c r="G8" s="108" t="s">
        <v>709</v>
      </c>
      <c r="H8" s="21" t="s">
        <v>258</v>
      </c>
    </row>
    <row r="9" spans="1:8" x14ac:dyDescent="0.25">
      <c r="A9" s="116" t="str">
        <f t="shared" si="4"/>
        <v>100E</v>
      </c>
      <c r="B9" s="108" t="s">
        <v>266</v>
      </c>
      <c r="C9" s="115" t="s">
        <v>307</v>
      </c>
      <c r="D9" s="108">
        <v>32</v>
      </c>
      <c r="E9" s="21">
        <f t="shared" si="2"/>
        <v>4</v>
      </c>
      <c r="F9" s="21">
        <f t="shared" si="3"/>
        <v>2</v>
      </c>
      <c r="G9" s="108" t="s">
        <v>709</v>
      </c>
      <c r="H9" s="21" t="s">
        <v>258</v>
      </c>
    </row>
    <row r="10" spans="1:8" x14ac:dyDescent="0.25">
      <c r="A10" s="116" t="str">
        <f t="shared" si="4"/>
        <v>1010</v>
      </c>
      <c r="B10" s="108" t="s">
        <v>267</v>
      </c>
      <c r="C10" s="115" t="s">
        <v>307</v>
      </c>
      <c r="D10" s="108">
        <v>32</v>
      </c>
      <c r="E10" s="21">
        <f t="shared" si="2"/>
        <v>4</v>
      </c>
      <c r="F10" s="21">
        <f t="shared" si="3"/>
        <v>2</v>
      </c>
      <c r="G10" s="108" t="s">
        <v>709</v>
      </c>
      <c r="H10" s="21" t="s">
        <v>258</v>
      </c>
    </row>
    <row r="11" spans="1:8" x14ac:dyDescent="0.25">
      <c r="A11" s="116" t="str">
        <f t="shared" si="4"/>
        <v>1012</v>
      </c>
      <c r="B11" s="108" t="s">
        <v>268</v>
      </c>
      <c r="C11" s="115" t="s">
        <v>307</v>
      </c>
      <c r="D11" s="108">
        <v>32</v>
      </c>
      <c r="E11" s="21">
        <f t="shared" si="2"/>
        <v>4</v>
      </c>
      <c r="F11" s="21">
        <f t="shared" si="3"/>
        <v>2</v>
      </c>
      <c r="G11" s="108" t="s">
        <v>709</v>
      </c>
      <c r="H11" s="21" t="s">
        <v>258</v>
      </c>
    </row>
    <row r="12" spans="1:8" x14ac:dyDescent="0.25">
      <c r="A12" s="116" t="str">
        <f t="shared" si="4"/>
        <v>1014</v>
      </c>
      <c r="B12" s="108" t="s">
        <v>269</v>
      </c>
      <c r="C12" s="115" t="s">
        <v>307</v>
      </c>
      <c r="D12" s="108">
        <v>32</v>
      </c>
      <c r="E12" s="21">
        <f t="shared" si="2"/>
        <v>4</v>
      </c>
      <c r="F12" s="21">
        <f t="shared" si="3"/>
        <v>2</v>
      </c>
      <c r="G12" s="108" t="s">
        <v>709</v>
      </c>
      <c r="H12" s="21" t="s">
        <v>258</v>
      </c>
    </row>
    <row r="13" spans="1:8" x14ac:dyDescent="0.25">
      <c r="A13" s="116" t="str">
        <f t="shared" si="4"/>
        <v>1016</v>
      </c>
      <c r="B13" s="108" t="s">
        <v>270</v>
      </c>
      <c r="C13" s="115" t="s">
        <v>307</v>
      </c>
      <c r="D13" s="108">
        <v>32</v>
      </c>
      <c r="E13" s="21">
        <f t="shared" si="2"/>
        <v>4</v>
      </c>
      <c r="F13" s="21">
        <f t="shared" si="3"/>
        <v>2</v>
      </c>
      <c r="G13" s="108" t="s">
        <v>709</v>
      </c>
      <c r="H13" s="21" t="s">
        <v>258</v>
      </c>
    </row>
    <row r="14" spans="1:8" x14ac:dyDescent="0.25">
      <c r="A14" s="116" t="str">
        <f t="shared" si="4"/>
        <v>1018</v>
      </c>
      <c r="B14" s="108" t="s">
        <v>271</v>
      </c>
      <c r="C14" s="115" t="s">
        <v>307</v>
      </c>
      <c r="D14" s="108">
        <v>32</v>
      </c>
      <c r="E14" s="21">
        <f t="shared" si="2"/>
        <v>4</v>
      </c>
      <c r="F14" s="21">
        <f t="shared" si="3"/>
        <v>2</v>
      </c>
      <c r="G14" s="108" t="s">
        <v>709</v>
      </c>
      <c r="H14" s="21" t="s">
        <v>258</v>
      </c>
    </row>
    <row r="15" spans="1:8" x14ac:dyDescent="0.25">
      <c r="A15" s="116" t="str">
        <f t="shared" si="4"/>
        <v>101A</v>
      </c>
      <c r="B15" s="108" t="s">
        <v>272</v>
      </c>
      <c r="C15" s="115" t="s">
        <v>307</v>
      </c>
      <c r="D15" s="108">
        <v>32</v>
      </c>
      <c r="E15" s="21">
        <f t="shared" si="2"/>
        <v>4</v>
      </c>
      <c r="F15" s="21">
        <f t="shared" si="3"/>
        <v>2</v>
      </c>
      <c r="G15" s="108" t="s">
        <v>709</v>
      </c>
      <c r="H15" s="21" t="s">
        <v>258</v>
      </c>
    </row>
    <row r="16" spans="1:8" x14ac:dyDescent="0.25">
      <c r="A16" s="116" t="str">
        <f t="shared" si="4"/>
        <v>101C</v>
      </c>
      <c r="B16" s="108" t="s">
        <v>273</v>
      </c>
      <c r="C16" s="115" t="s">
        <v>307</v>
      </c>
      <c r="D16" s="108">
        <v>32</v>
      </c>
      <c r="E16" s="21">
        <f t="shared" si="2"/>
        <v>4</v>
      </c>
      <c r="F16" s="21">
        <f t="shared" si="3"/>
        <v>2</v>
      </c>
      <c r="G16" s="108" t="s">
        <v>709</v>
      </c>
      <c r="H16" s="21" t="s">
        <v>258</v>
      </c>
    </row>
    <row r="17" spans="1:8" x14ac:dyDescent="0.25">
      <c r="A17" s="116" t="str">
        <f t="shared" si="4"/>
        <v>101E</v>
      </c>
      <c r="B17" s="57" t="s">
        <v>274</v>
      </c>
      <c r="C17" s="94" t="s">
        <v>307</v>
      </c>
      <c r="D17" s="57">
        <v>32</v>
      </c>
      <c r="E17" s="16">
        <f t="shared" si="2"/>
        <v>4</v>
      </c>
      <c r="F17" s="16">
        <f t="shared" si="3"/>
        <v>2</v>
      </c>
      <c r="G17" s="108" t="s">
        <v>709</v>
      </c>
      <c r="H17" s="16" t="s">
        <v>258</v>
      </c>
    </row>
    <row r="18" spans="1:8" x14ac:dyDescent="0.25">
      <c r="A18" s="116" t="str">
        <f t="shared" si="4"/>
        <v>1020</v>
      </c>
      <c r="B18" s="57" t="s">
        <v>550</v>
      </c>
      <c r="C18" s="94" t="s">
        <v>307</v>
      </c>
      <c r="D18" s="57">
        <v>32</v>
      </c>
      <c r="E18" s="16">
        <f t="shared" si="2"/>
        <v>4</v>
      </c>
      <c r="F18" s="16">
        <f t="shared" si="3"/>
        <v>2</v>
      </c>
      <c r="G18" s="108" t="s">
        <v>709</v>
      </c>
      <c r="H18" s="16" t="s">
        <v>258</v>
      </c>
    </row>
    <row r="19" spans="1:8" x14ac:dyDescent="0.25">
      <c r="A19" s="116" t="str">
        <f t="shared" si="4"/>
        <v>1022</v>
      </c>
      <c r="B19" s="57" t="s">
        <v>551</v>
      </c>
      <c r="C19" s="94" t="s">
        <v>307</v>
      </c>
      <c r="D19" s="57">
        <v>32</v>
      </c>
      <c r="E19" s="16">
        <f t="shared" si="2"/>
        <v>4</v>
      </c>
      <c r="F19" s="16">
        <f t="shared" si="3"/>
        <v>2</v>
      </c>
      <c r="G19" s="108" t="s">
        <v>709</v>
      </c>
      <c r="H19" s="16" t="s">
        <v>258</v>
      </c>
    </row>
    <row r="20" spans="1:8" x14ac:dyDescent="0.25">
      <c r="A20" s="116" t="str">
        <f t="shared" si="4"/>
        <v>1024</v>
      </c>
      <c r="B20" s="57" t="s">
        <v>552</v>
      </c>
      <c r="C20" s="94" t="s">
        <v>307</v>
      </c>
      <c r="D20" s="57">
        <v>32</v>
      </c>
      <c r="E20" s="16">
        <f t="shared" si="2"/>
        <v>4</v>
      </c>
      <c r="F20" s="16">
        <f t="shared" si="3"/>
        <v>2</v>
      </c>
      <c r="G20" s="108" t="s">
        <v>709</v>
      </c>
      <c r="H20" s="16" t="s">
        <v>258</v>
      </c>
    </row>
    <row r="21" spans="1:8" x14ac:dyDescent="0.25">
      <c r="A21" s="116" t="str">
        <f t="shared" si="4"/>
        <v>1026</v>
      </c>
      <c r="B21" s="57" t="s">
        <v>553</v>
      </c>
      <c r="C21" s="94" t="s">
        <v>307</v>
      </c>
      <c r="D21" s="57">
        <v>32</v>
      </c>
      <c r="E21" s="16">
        <f t="shared" si="2"/>
        <v>4</v>
      </c>
      <c r="F21" s="16">
        <f t="shared" si="3"/>
        <v>2</v>
      </c>
      <c r="G21" s="108" t="s">
        <v>709</v>
      </c>
      <c r="H21" s="16" t="s">
        <v>258</v>
      </c>
    </row>
    <row r="22" spans="1:8" ht="16.5" thickBot="1" x14ac:dyDescent="0.3">
      <c r="A22" s="119" t="str">
        <f t="shared" si="4"/>
        <v>1028</v>
      </c>
      <c r="B22" s="99" t="s">
        <v>554</v>
      </c>
      <c r="C22" s="95" t="s">
        <v>555</v>
      </c>
      <c r="D22" s="99">
        <v>1920</v>
      </c>
      <c r="E22" s="64">
        <f t="shared" si="2"/>
        <v>240</v>
      </c>
      <c r="F22" s="64">
        <f t="shared" si="3"/>
        <v>120</v>
      </c>
      <c r="G22" s="99" t="s">
        <v>25</v>
      </c>
      <c r="H22" s="64" t="s">
        <v>258</v>
      </c>
    </row>
    <row r="23" spans="1:8" x14ac:dyDescent="0.25">
      <c r="A23" s="118" t="str">
        <f t="shared" si="4"/>
        <v>10A0</v>
      </c>
      <c r="B23" s="50" t="s">
        <v>276</v>
      </c>
      <c r="C23" s="61" t="s">
        <v>560</v>
      </c>
      <c r="D23" s="50">
        <v>384</v>
      </c>
      <c r="E23" s="50">
        <f t="shared" si="2"/>
        <v>48</v>
      </c>
      <c r="F23" s="50">
        <f t="shared" si="3"/>
        <v>24</v>
      </c>
      <c r="G23" s="108" t="s">
        <v>566</v>
      </c>
      <c r="H23" s="50" t="s">
        <v>275</v>
      </c>
    </row>
    <row r="24" spans="1:8" x14ac:dyDescent="0.25">
      <c r="A24" s="116" t="str">
        <f>DEC2HEX(HEX2DEC(A23)+F23)</f>
        <v>10B8</v>
      </c>
      <c r="B24" s="57" t="s">
        <v>277</v>
      </c>
      <c r="C24" s="94" t="s">
        <v>560</v>
      </c>
      <c r="D24" s="57">
        <v>384</v>
      </c>
      <c r="E24" s="57">
        <f t="shared" ref="E24:E30" si="5">QUOTIENT(D24+7,8)</f>
        <v>48</v>
      </c>
      <c r="F24" s="57">
        <f t="shared" ref="F24:F30" si="6">QUOTIENT(E24+1,2)</f>
        <v>24</v>
      </c>
      <c r="G24" s="108" t="s">
        <v>566</v>
      </c>
      <c r="H24" s="57" t="s">
        <v>275</v>
      </c>
    </row>
    <row r="25" spans="1:8" x14ac:dyDescent="0.25">
      <c r="A25" s="116" t="str">
        <f t="shared" ref="A25:A44" si="7">DEC2HEX(HEX2DEC(A24)+F24)</f>
        <v>10D0</v>
      </c>
      <c r="B25" s="57" t="s">
        <v>278</v>
      </c>
      <c r="C25" s="94" t="s">
        <v>560</v>
      </c>
      <c r="D25" s="57">
        <v>384</v>
      </c>
      <c r="E25" s="57">
        <f t="shared" si="5"/>
        <v>48</v>
      </c>
      <c r="F25" s="57">
        <f t="shared" si="6"/>
        <v>24</v>
      </c>
      <c r="G25" s="108" t="s">
        <v>566</v>
      </c>
      <c r="H25" s="57" t="s">
        <v>275</v>
      </c>
    </row>
    <row r="26" spans="1:8" x14ac:dyDescent="0.25">
      <c r="A26" s="116" t="str">
        <f t="shared" si="7"/>
        <v>10E8</v>
      </c>
      <c r="B26" s="57" t="s">
        <v>279</v>
      </c>
      <c r="C26" s="94" t="s">
        <v>560</v>
      </c>
      <c r="D26" s="57">
        <v>384</v>
      </c>
      <c r="E26" s="57">
        <f t="shared" si="5"/>
        <v>48</v>
      </c>
      <c r="F26" s="57">
        <f t="shared" si="6"/>
        <v>24</v>
      </c>
      <c r="G26" s="108" t="s">
        <v>566</v>
      </c>
      <c r="H26" s="57" t="s">
        <v>275</v>
      </c>
    </row>
    <row r="27" spans="1:8" x14ac:dyDescent="0.25">
      <c r="A27" s="116" t="str">
        <f t="shared" si="7"/>
        <v>1100</v>
      </c>
      <c r="B27" s="57" t="s">
        <v>280</v>
      </c>
      <c r="C27" s="94" t="s">
        <v>560</v>
      </c>
      <c r="D27" s="57">
        <v>384</v>
      </c>
      <c r="E27" s="57">
        <f t="shared" si="5"/>
        <v>48</v>
      </c>
      <c r="F27" s="57">
        <f t="shared" si="6"/>
        <v>24</v>
      </c>
      <c r="G27" s="108" t="s">
        <v>566</v>
      </c>
      <c r="H27" s="57" t="s">
        <v>275</v>
      </c>
    </row>
    <row r="28" spans="1:8" x14ac:dyDescent="0.25">
      <c r="A28" s="116" t="str">
        <f t="shared" si="7"/>
        <v>1118</v>
      </c>
      <c r="B28" s="57" t="s">
        <v>281</v>
      </c>
      <c r="C28" s="94" t="s">
        <v>560</v>
      </c>
      <c r="D28" s="57">
        <v>384</v>
      </c>
      <c r="E28" s="57">
        <f t="shared" si="5"/>
        <v>48</v>
      </c>
      <c r="F28" s="57">
        <f t="shared" si="6"/>
        <v>24</v>
      </c>
      <c r="G28" s="108" t="s">
        <v>566</v>
      </c>
      <c r="H28" s="57" t="s">
        <v>275</v>
      </c>
    </row>
    <row r="29" spans="1:8" x14ac:dyDescent="0.25">
      <c r="A29" s="116" t="str">
        <f t="shared" si="7"/>
        <v>1130</v>
      </c>
      <c r="B29" s="57" t="s">
        <v>282</v>
      </c>
      <c r="C29" s="94" t="s">
        <v>560</v>
      </c>
      <c r="D29" s="57">
        <v>384</v>
      </c>
      <c r="E29" s="57">
        <f t="shared" si="5"/>
        <v>48</v>
      </c>
      <c r="F29" s="57">
        <f t="shared" si="6"/>
        <v>24</v>
      </c>
      <c r="G29" s="108" t="s">
        <v>566</v>
      </c>
      <c r="H29" s="57" t="s">
        <v>275</v>
      </c>
    </row>
    <row r="30" spans="1:8" x14ac:dyDescent="0.25">
      <c r="A30" s="116" t="str">
        <f t="shared" si="7"/>
        <v>1148</v>
      </c>
      <c r="B30" s="57" t="s">
        <v>283</v>
      </c>
      <c r="C30" s="94" t="s">
        <v>560</v>
      </c>
      <c r="D30" s="57">
        <v>384</v>
      </c>
      <c r="E30" s="57">
        <f t="shared" si="5"/>
        <v>48</v>
      </c>
      <c r="F30" s="57">
        <f t="shared" si="6"/>
        <v>24</v>
      </c>
      <c r="G30" s="108" t="s">
        <v>566</v>
      </c>
      <c r="H30" s="57" t="s">
        <v>275</v>
      </c>
    </row>
    <row r="31" spans="1:8" x14ac:dyDescent="0.25">
      <c r="A31" s="117" t="str">
        <f t="shared" si="7"/>
        <v>1160</v>
      </c>
      <c r="B31" s="57" t="s">
        <v>284</v>
      </c>
      <c r="C31" s="94" t="s">
        <v>560</v>
      </c>
      <c r="D31" s="57">
        <v>384</v>
      </c>
      <c r="E31" s="57">
        <f t="shared" ref="E31:E38" si="8">QUOTIENT(D31+7,8)</f>
        <v>48</v>
      </c>
      <c r="F31" s="57">
        <f t="shared" ref="F31:F38" si="9">QUOTIENT(E31+1,2)</f>
        <v>24</v>
      </c>
      <c r="G31" s="108" t="s">
        <v>566</v>
      </c>
      <c r="H31" s="57" t="s">
        <v>275</v>
      </c>
    </row>
    <row r="32" spans="1:8" x14ac:dyDescent="0.25">
      <c r="A32" s="117" t="str">
        <f t="shared" si="7"/>
        <v>1178</v>
      </c>
      <c r="B32" s="57" t="s">
        <v>285</v>
      </c>
      <c r="C32" s="94" t="s">
        <v>560</v>
      </c>
      <c r="D32" s="57">
        <v>384</v>
      </c>
      <c r="E32" s="57">
        <f t="shared" si="8"/>
        <v>48</v>
      </c>
      <c r="F32" s="57">
        <f t="shared" si="9"/>
        <v>24</v>
      </c>
      <c r="G32" s="108" t="s">
        <v>566</v>
      </c>
      <c r="H32" s="57" t="s">
        <v>275</v>
      </c>
    </row>
    <row r="33" spans="1:8" x14ac:dyDescent="0.25">
      <c r="A33" s="117" t="str">
        <f t="shared" si="7"/>
        <v>1190</v>
      </c>
      <c r="B33" s="57" t="s">
        <v>286</v>
      </c>
      <c r="C33" s="94" t="s">
        <v>560</v>
      </c>
      <c r="D33" s="57">
        <v>384</v>
      </c>
      <c r="E33" s="57">
        <f t="shared" si="8"/>
        <v>48</v>
      </c>
      <c r="F33" s="57">
        <f t="shared" si="9"/>
        <v>24</v>
      </c>
      <c r="G33" s="108" t="s">
        <v>566</v>
      </c>
      <c r="H33" s="57" t="s">
        <v>275</v>
      </c>
    </row>
    <row r="34" spans="1:8" x14ac:dyDescent="0.25">
      <c r="A34" s="117" t="str">
        <f t="shared" si="7"/>
        <v>11A8</v>
      </c>
      <c r="B34" s="57" t="s">
        <v>287</v>
      </c>
      <c r="C34" s="94" t="s">
        <v>560</v>
      </c>
      <c r="D34" s="57">
        <v>384</v>
      </c>
      <c r="E34" s="57">
        <f t="shared" si="8"/>
        <v>48</v>
      </c>
      <c r="F34" s="57">
        <f t="shared" si="9"/>
        <v>24</v>
      </c>
      <c r="G34" s="108" t="s">
        <v>566</v>
      </c>
      <c r="H34" s="57" t="s">
        <v>275</v>
      </c>
    </row>
    <row r="35" spans="1:8" x14ac:dyDescent="0.25">
      <c r="A35" s="117" t="str">
        <f t="shared" si="7"/>
        <v>11C0</v>
      </c>
      <c r="B35" s="57" t="s">
        <v>288</v>
      </c>
      <c r="C35" s="94" t="s">
        <v>560</v>
      </c>
      <c r="D35" s="57">
        <v>384</v>
      </c>
      <c r="E35" s="57">
        <f t="shared" si="8"/>
        <v>48</v>
      </c>
      <c r="F35" s="57">
        <f t="shared" si="9"/>
        <v>24</v>
      </c>
      <c r="G35" s="108" t="s">
        <v>566</v>
      </c>
      <c r="H35" s="57" t="s">
        <v>275</v>
      </c>
    </row>
    <row r="36" spans="1:8" x14ac:dyDescent="0.25">
      <c r="A36" s="117" t="str">
        <f t="shared" si="7"/>
        <v>11D8</v>
      </c>
      <c r="B36" s="57" t="s">
        <v>289</v>
      </c>
      <c r="C36" s="94" t="s">
        <v>560</v>
      </c>
      <c r="D36" s="57">
        <v>384</v>
      </c>
      <c r="E36" s="57">
        <f t="shared" si="8"/>
        <v>48</v>
      </c>
      <c r="F36" s="57">
        <f t="shared" si="9"/>
        <v>24</v>
      </c>
      <c r="G36" s="108" t="s">
        <v>566</v>
      </c>
      <c r="H36" s="57" t="s">
        <v>275</v>
      </c>
    </row>
    <row r="37" spans="1:8" x14ac:dyDescent="0.25">
      <c r="A37" s="117" t="str">
        <f t="shared" si="7"/>
        <v>11F0</v>
      </c>
      <c r="B37" s="57" t="s">
        <v>290</v>
      </c>
      <c r="C37" s="94" t="s">
        <v>560</v>
      </c>
      <c r="D37" s="57">
        <v>384</v>
      </c>
      <c r="E37" s="57">
        <f t="shared" si="8"/>
        <v>48</v>
      </c>
      <c r="F37" s="57">
        <f t="shared" si="9"/>
        <v>24</v>
      </c>
      <c r="G37" s="108" t="s">
        <v>566</v>
      </c>
      <c r="H37" s="57" t="s">
        <v>275</v>
      </c>
    </row>
    <row r="38" spans="1:8" x14ac:dyDescent="0.25">
      <c r="A38" s="117" t="str">
        <f t="shared" si="7"/>
        <v>1208</v>
      </c>
      <c r="B38" s="57" t="s">
        <v>291</v>
      </c>
      <c r="C38" s="94" t="s">
        <v>560</v>
      </c>
      <c r="D38" s="57">
        <v>384</v>
      </c>
      <c r="E38" s="57">
        <f t="shared" si="8"/>
        <v>48</v>
      </c>
      <c r="F38" s="57">
        <f t="shared" si="9"/>
        <v>24</v>
      </c>
      <c r="G38" s="108" t="s">
        <v>566</v>
      </c>
      <c r="H38" s="57" t="s">
        <v>275</v>
      </c>
    </row>
    <row r="39" spans="1:8" x14ac:dyDescent="0.25">
      <c r="A39" s="117" t="str">
        <f t="shared" si="7"/>
        <v>1220</v>
      </c>
      <c r="B39" s="57" t="s">
        <v>556</v>
      </c>
      <c r="C39" s="94" t="s">
        <v>562</v>
      </c>
      <c r="D39" s="57">
        <v>256</v>
      </c>
      <c r="E39" s="57">
        <f t="shared" ref="E39:E43" si="10">QUOTIENT(D39+7,8)</f>
        <v>32</v>
      </c>
      <c r="F39" s="57">
        <f t="shared" ref="F39:F43" si="11">QUOTIENT(E39+1,2)</f>
        <v>16</v>
      </c>
      <c r="G39" s="57" t="s">
        <v>710</v>
      </c>
      <c r="H39" s="57" t="s">
        <v>275</v>
      </c>
    </row>
    <row r="40" spans="1:8" x14ac:dyDescent="0.25">
      <c r="A40" s="117" t="str">
        <f t="shared" si="7"/>
        <v>1230</v>
      </c>
      <c r="B40" s="57" t="s">
        <v>557</v>
      </c>
      <c r="C40" s="94" t="s">
        <v>562</v>
      </c>
      <c r="D40" s="57">
        <v>256</v>
      </c>
      <c r="E40" s="57">
        <f t="shared" si="10"/>
        <v>32</v>
      </c>
      <c r="F40" s="57">
        <f t="shared" si="11"/>
        <v>16</v>
      </c>
      <c r="G40" s="57" t="s">
        <v>710</v>
      </c>
      <c r="H40" s="57" t="s">
        <v>275</v>
      </c>
    </row>
    <row r="41" spans="1:8" x14ac:dyDescent="0.25">
      <c r="A41" s="117" t="str">
        <f t="shared" si="7"/>
        <v>1240</v>
      </c>
      <c r="B41" s="57" t="s">
        <v>558</v>
      </c>
      <c r="C41" s="94" t="s">
        <v>562</v>
      </c>
      <c r="D41" s="57">
        <v>256</v>
      </c>
      <c r="E41" s="57">
        <f t="shared" si="10"/>
        <v>32</v>
      </c>
      <c r="F41" s="57">
        <f t="shared" si="11"/>
        <v>16</v>
      </c>
      <c r="G41" s="57" t="s">
        <v>710</v>
      </c>
      <c r="H41" s="57" t="s">
        <v>275</v>
      </c>
    </row>
    <row r="42" spans="1:8" x14ac:dyDescent="0.25">
      <c r="A42" s="117" t="str">
        <f t="shared" si="7"/>
        <v>1250</v>
      </c>
      <c r="B42" s="57" t="s">
        <v>559</v>
      </c>
      <c r="C42" s="94" t="s">
        <v>562</v>
      </c>
      <c r="D42" s="57">
        <v>256</v>
      </c>
      <c r="E42" s="57">
        <f t="shared" si="10"/>
        <v>32</v>
      </c>
      <c r="F42" s="57">
        <f t="shared" si="11"/>
        <v>16</v>
      </c>
      <c r="G42" s="57" t="s">
        <v>710</v>
      </c>
      <c r="H42" s="57" t="s">
        <v>275</v>
      </c>
    </row>
    <row r="43" spans="1:8" ht="16.5" thickBot="1" x14ac:dyDescent="0.3">
      <c r="A43" s="117" t="str">
        <f t="shared" si="7"/>
        <v>1260</v>
      </c>
      <c r="B43" s="57" t="s">
        <v>25</v>
      </c>
      <c r="C43" s="94" t="s">
        <v>561</v>
      </c>
      <c r="D43" s="57">
        <v>39424</v>
      </c>
      <c r="E43" s="57">
        <f t="shared" si="10"/>
        <v>4928</v>
      </c>
      <c r="F43" s="57">
        <f t="shared" si="11"/>
        <v>2464</v>
      </c>
      <c r="G43" s="57" t="s">
        <v>25</v>
      </c>
      <c r="H43" s="57" t="s">
        <v>275</v>
      </c>
    </row>
    <row r="44" spans="1:8" ht="16.5" thickBot="1" x14ac:dyDescent="0.3">
      <c r="A44" s="120" t="str">
        <f t="shared" si="7"/>
        <v>1C00</v>
      </c>
      <c r="B44" s="13" t="s">
        <v>22</v>
      </c>
      <c r="C44" s="13"/>
      <c r="D44" s="13">
        <f>SUM(D2:D43)</f>
        <v>49152</v>
      </c>
      <c r="E44" s="12">
        <f>QUOTIENT(D44+7,8)</f>
        <v>6144</v>
      </c>
      <c r="F44" s="12">
        <f>QUOTIENT(E44+1,2)</f>
        <v>3072</v>
      </c>
      <c r="G44" s="13"/>
      <c r="H44" s="13"/>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
  <sheetViews>
    <sheetView tabSelected="1" zoomScaleNormal="100" workbookViewId="0">
      <pane ySplit="1" topLeftCell="A2" activePane="bottomLeft" state="frozen"/>
      <selection pane="bottomLeft" activeCell="I7" sqref="I7:J7"/>
    </sheetView>
  </sheetViews>
  <sheetFormatPr defaultColWidth="9" defaultRowHeight="15.75" x14ac:dyDescent="0.25"/>
  <cols>
    <col min="1" max="1" width="21.75" style="11" customWidth="1"/>
    <col min="2" max="2" width="29.875" style="11" customWidth="1"/>
    <col min="3" max="3" width="8.125" style="11" customWidth="1"/>
    <col min="4" max="4" width="10" style="11" customWidth="1"/>
    <col min="5" max="5" width="11" style="11" customWidth="1"/>
    <col min="6" max="6" width="12" style="11" customWidth="1"/>
    <col min="7" max="7" width="60.625" style="11" customWidth="1"/>
    <col min="8" max="8" width="23.125" style="11" customWidth="1"/>
    <col min="9" max="9" width="9" style="11" customWidth="1"/>
    <col min="10" max="16384" width="9" style="11"/>
  </cols>
  <sheetData>
    <row r="1" spans="1:8" ht="19.5" customHeight="1" thickBot="1" x14ac:dyDescent="0.3">
      <c r="A1" s="110" t="s">
        <v>711</v>
      </c>
      <c r="B1" s="110" t="s">
        <v>17</v>
      </c>
      <c r="C1" s="110" t="s">
        <v>712</v>
      </c>
      <c r="D1" s="110" t="s">
        <v>713</v>
      </c>
      <c r="E1" s="110" t="s">
        <v>714</v>
      </c>
      <c r="F1" s="110" t="s">
        <v>715</v>
      </c>
      <c r="G1" s="110" t="s">
        <v>716</v>
      </c>
      <c r="H1" s="110" t="s">
        <v>640</v>
      </c>
    </row>
    <row r="2" spans="1:8" ht="31.5" customHeight="1" x14ac:dyDescent="0.25">
      <c r="A2" s="51" t="s">
        <v>717</v>
      </c>
      <c r="B2" s="16" t="s">
        <v>718</v>
      </c>
      <c r="C2" s="16">
        <v>0</v>
      </c>
      <c r="D2" s="16">
        <v>1</v>
      </c>
      <c r="E2" s="16">
        <f t="shared" ref="E2:E14" si="0">QUOTIENT(D2+7,8)</f>
        <v>1</v>
      </c>
      <c r="F2" s="16">
        <f t="shared" ref="F2:F14" si="1">QUOTIENT(E2+1,2)</f>
        <v>1</v>
      </c>
      <c r="G2" s="16" t="s">
        <v>746</v>
      </c>
      <c r="H2" s="18" t="s">
        <v>296</v>
      </c>
    </row>
    <row r="3" spans="1:8" ht="17.25" customHeight="1" x14ac:dyDescent="0.25">
      <c r="A3" s="17" t="str">
        <f>A2</f>
        <v>1C00</v>
      </c>
      <c r="B3" s="21" t="s">
        <v>26</v>
      </c>
      <c r="C3" s="115" t="s">
        <v>719</v>
      </c>
      <c r="D3" s="21">
        <v>15</v>
      </c>
      <c r="E3" s="21">
        <f t="shared" si="0"/>
        <v>2</v>
      </c>
      <c r="F3" s="21">
        <f t="shared" si="1"/>
        <v>1</v>
      </c>
      <c r="G3" s="21" t="s">
        <v>720</v>
      </c>
      <c r="H3" s="21"/>
    </row>
    <row r="4" spans="1:8" ht="31.5" customHeight="1" x14ac:dyDescent="0.25">
      <c r="A4" s="17" t="str">
        <f>DEC2HEX(HEX2DEC(A3)+F3)</f>
        <v>1C01</v>
      </c>
      <c r="B4" s="16" t="s">
        <v>293</v>
      </c>
      <c r="C4" s="16">
        <v>0</v>
      </c>
      <c r="D4" s="16">
        <v>1</v>
      </c>
      <c r="E4" s="16">
        <f t="shared" si="0"/>
        <v>1</v>
      </c>
      <c r="F4" s="16">
        <f t="shared" si="1"/>
        <v>1</v>
      </c>
      <c r="G4" s="16" t="s">
        <v>747</v>
      </c>
      <c r="H4" s="16" t="s">
        <v>721</v>
      </c>
    </row>
    <row r="5" spans="1:8" ht="17.25" customHeight="1" x14ac:dyDescent="0.25">
      <c r="A5" s="17" t="str">
        <f>A4</f>
        <v>1C01</v>
      </c>
      <c r="B5" s="21" t="s">
        <v>26</v>
      </c>
      <c r="C5" s="115" t="s">
        <v>719</v>
      </c>
      <c r="D5" s="21">
        <v>15</v>
      </c>
      <c r="E5" s="21">
        <f t="shared" si="0"/>
        <v>2</v>
      </c>
      <c r="F5" s="21">
        <f t="shared" si="1"/>
        <v>1</v>
      </c>
      <c r="G5" s="21" t="s">
        <v>720</v>
      </c>
      <c r="H5" s="21"/>
    </row>
    <row r="6" spans="1:8" ht="32.25" customHeight="1" x14ac:dyDescent="0.25">
      <c r="A6" s="17" t="str">
        <f t="shared" ref="A6:A13" si="2">DEC2HEX(HEX2DEC(A5)+F5)</f>
        <v>1C02</v>
      </c>
      <c r="B6" s="16" t="s">
        <v>722</v>
      </c>
      <c r="C6" s="115" t="s">
        <v>723</v>
      </c>
      <c r="D6" s="16">
        <v>256</v>
      </c>
      <c r="E6" s="18">
        <f t="shared" si="0"/>
        <v>32</v>
      </c>
      <c r="F6" s="18">
        <f t="shared" si="1"/>
        <v>16</v>
      </c>
      <c r="G6" s="16" t="s">
        <v>724</v>
      </c>
      <c r="H6" s="16" t="s">
        <v>725</v>
      </c>
    </row>
    <row r="7" spans="1:8" ht="126" customHeight="1" x14ac:dyDescent="0.25">
      <c r="A7" s="17" t="str">
        <f t="shared" si="2"/>
        <v>1C12</v>
      </c>
      <c r="B7" s="154" t="s">
        <v>295</v>
      </c>
      <c r="C7" s="115" t="s">
        <v>726</v>
      </c>
      <c r="D7" s="18">
        <v>384</v>
      </c>
      <c r="E7" s="18">
        <f t="shared" si="0"/>
        <v>48</v>
      </c>
      <c r="F7" s="18">
        <f t="shared" si="1"/>
        <v>24</v>
      </c>
      <c r="G7" s="16" t="s">
        <v>748</v>
      </c>
      <c r="H7" s="16" t="s">
        <v>296</v>
      </c>
    </row>
    <row r="8" spans="1:8" ht="165" customHeight="1" x14ac:dyDescent="0.25">
      <c r="A8" s="17" t="str">
        <f t="shared" si="2"/>
        <v>1C2A</v>
      </c>
      <c r="B8" s="154" t="s">
        <v>297</v>
      </c>
      <c r="C8" s="115" t="s">
        <v>727</v>
      </c>
      <c r="D8" s="18">
        <v>768</v>
      </c>
      <c r="E8" s="18">
        <f t="shared" si="0"/>
        <v>96</v>
      </c>
      <c r="F8" s="18">
        <f t="shared" si="1"/>
        <v>48</v>
      </c>
      <c r="G8" s="16" t="s">
        <v>749</v>
      </c>
      <c r="H8" s="16" t="s">
        <v>725</v>
      </c>
    </row>
    <row r="9" spans="1:8" ht="31.5" x14ac:dyDescent="0.25">
      <c r="A9" s="17" t="str">
        <f t="shared" si="2"/>
        <v>1C5A</v>
      </c>
      <c r="B9" s="154" t="s">
        <v>298</v>
      </c>
      <c r="C9" s="115" t="s">
        <v>728</v>
      </c>
      <c r="D9" s="18">
        <v>128</v>
      </c>
      <c r="E9" s="18">
        <f t="shared" si="0"/>
        <v>16</v>
      </c>
      <c r="F9" s="18">
        <f t="shared" si="1"/>
        <v>8</v>
      </c>
      <c r="G9" s="16" t="s">
        <v>750</v>
      </c>
      <c r="H9" s="16" t="s">
        <v>725</v>
      </c>
    </row>
    <row r="10" spans="1:8" ht="87.75" customHeight="1" thickBot="1" x14ac:dyDescent="0.3">
      <c r="A10" s="17" t="str">
        <f t="shared" si="2"/>
        <v>1C62</v>
      </c>
      <c r="B10" s="154" t="s">
        <v>729</v>
      </c>
      <c r="C10" s="115" t="s">
        <v>730</v>
      </c>
      <c r="D10" s="18">
        <v>8192</v>
      </c>
      <c r="E10" s="18">
        <f t="shared" si="0"/>
        <v>1024</v>
      </c>
      <c r="F10" s="18">
        <f t="shared" si="1"/>
        <v>512</v>
      </c>
      <c r="G10" s="16" t="s">
        <v>731</v>
      </c>
      <c r="H10" s="16" t="s">
        <v>725</v>
      </c>
    </row>
    <row r="11" spans="1:8" ht="19.5" customHeight="1" thickBot="1" x14ac:dyDescent="0.3">
      <c r="A11" s="17" t="str">
        <f t="shared" si="2"/>
        <v>1E62</v>
      </c>
      <c r="B11" s="154" t="s">
        <v>299</v>
      </c>
      <c r="C11" s="115" t="s">
        <v>727</v>
      </c>
      <c r="D11" s="18">
        <v>768</v>
      </c>
      <c r="E11" s="18">
        <f t="shared" si="0"/>
        <v>96</v>
      </c>
      <c r="F11" s="18">
        <f t="shared" si="1"/>
        <v>48</v>
      </c>
      <c r="G11" s="16" t="s">
        <v>732</v>
      </c>
      <c r="H11" s="16" t="s">
        <v>725</v>
      </c>
    </row>
    <row r="12" spans="1:8" ht="17.25" customHeight="1" x14ac:dyDescent="0.25">
      <c r="A12" s="17" t="str">
        <f t="shared" si="2"/>
        <v>1E92</v>
      </c>
      <c r="B12" s="21" t="s">
        <v>26</v>
      </c>
      <c r="C12" s="115" t="s">
        <v>733</v>
      </c>
      <c r="D12" s="21">
        <v>3808</v>
      </c>
      <c r="E12" s="21">
        <f t="shared" si="0"/>
        <v>476</v>
      </c>
      <c r="F12" s="21">
        <f t="shared" si="1"/>
        <v>238</v>
      </c>
      <c r="G12" s="21" t="s">
        <v>720</v>
      </c>
      <c r="H12" s="21"/>
    </row>
    <row r="13" spans="1:8" x14ac:dyDescent="0.25">
      <c r="A13" s="12" t="str">
        <f t="shared" si="2"/>
        <v>1F80</v>
      </c>
      <c r="B13" s="13" t="s">
        <v>22</v>
      </c>
      <c r="C13" s="59"/>
      <c r="D13" s="12">
        <f>SUM(D2:D12)</f>
        <v>14336</v>
      </c>
      <c r="E13" s="12">
        <f t="shared" si="0"/>
        <v>1792</v>
      </c>
      <c r="F13" s="12">
        <f t="shared" si="1"/>
        <v>896</v>
      </c>
      <c r="G13" s="12"/>
      <c r="H13" s="14"/>
    </row>
    <row r="14" spans="1:8" x14ac:dyDescent="0.25">
      <c r="A14" s="8" t="str">
        <f>DEC2HEX(F14)</f>
        <v>380</v>
      </c>
      <c r="B14" s="8" t="s">
        <v>734</v>
      </c>
      <c r="C14" s="8"/>
      <c r="D14" s="8">
        <f>F13*16</f>
        <v>14336</v>
      </c>
      <c r="E14" s="8">
        <f t="shared" si="0"/>
        <v>1792</v>
      </c>
      <c r="F14" s="8">
        <f t="shared" si="1"/>
        <v>896</v>
      </c>
    </row>
    <row r="15" spans="1:8" x14ac:dyDescent="0.25">
      <c r="A15" s="16" t="s">
        <v>735</v>
      </c>
      <c r="B15" s="16" t="s">
        <v>736</v>
      </c>
    </row>
  </sheetData>
  <phoneticPr fontId="1" type="noConversion"/>
  <pageMargins left="0.7" right="0.7" top="0.75" bottom="0.75" header="0.3" footer="0.3"/>
  <pageSetup paperSize="9" scale="47"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117D-3A40-4B17-9E1E-FA4E8ECB49B4}">
  <dimension ref="A1:H9"/>
  <sheetViews>
    <sheetView zoomScaleNormal="100" workbookViewId="0">
      <pane ySplit="1" topLeftCell="A2" activePane="bottomLeft" state="frozen"/>
      <selection pane="bottomLeft" activeCell="F3" sqref="F3"/>
    </sheetView>
  </sheetViews>
  <sheetFormatPr defaultColWidth="9" defaultRowHeight="15.75" x14ac:dyDescent="0.25"/>
  <cols>
    <col min="1" max="1" width="24.5" style="11" customWidth="1"/>
    <col min="2" max="2" width="25.25" style="11" customWidth="1"/>
    <col min="3" max="3" width="7" style="11" customWidth="1"/>
    <col min="4" max="4" width="10.125" style="11" customWidth="1"/>
    <col min="5" max="5" width="12.625" style="11" customWidth="1"/>
    <col min="6" max="6" width="12.25" style="11" customWidth="1"/>
    <col min="7" max="7" width="38.5" style="11" customWidth="1"/>
    <col min="8" max="8" width="23.125" style="11" customWidth="1"/>
    <col min="9" max="16384" width="9" style="11"/>
  </cols>
  <sheetData>
    <row r="1" spans="1:8" ht="19.5" thickBot="1" x14ac:dyDescent="0.3">
      <c r="A1" s="110" t="s">
        <v>306</v>
      </c>
      <c r="B1" s="110" t="s">
        <v>529</v>
      </c>
      <c r="C1" s="110" t="s">
        <v>308</v>
      </c>
      <c r="D1" s="110" t="s">
        <v>312</v>
      </c>
      <c r="E1" s="110" t="s">
        <v>313</v>
      </c>
      <c r="F1" s="110" t="s">
        <v>314</v>
      </c>
      <c r="G1" s="110" t="s">
        <v>18</v>
      </c>
      <c r="H1" s="110" t="s">
        <v>19</v>
      </c>
    </row>
    <row r="2" spans="1:8" x14ac:dyDescent="0.25">
      <c r="A2" s="52" t="s">
        <v>300</v>
      </c>
      <c r="B2" s="154" t="s">
        <v>301</v>
      </c>
      <c r="C2" s="121" t="s">
        <v>563</v>
      </c>
      <c r="D2" s="18">
        <v>512</v>
      </c>
      <c r="E2" s="18">
        <f>QUOTIENT(D2+7,8)</f>
        <v>64</v>
      </c>
      <c r="F2" s="18">
        <f>QUOTIENT(E2+1,2)</f>
        <v>32</v>
      </c>
      <c r="G2" s="16" t="s">
        <v>737</v>
      </c>
      <c r="H2" s="18"/>
    </row>
    <row r="3" spans="1:8" x14ac:dyDescent="0.25">
      <c r="A3" s="53" t="str">
        <f t="shared" ref="A3:A8" si="0">DEC2HEX(HEX2DEC(A2)+F2)</f>
        <v>1FA0</v>
      </c>
      <c r="B3" s="154" t="s">
        <v>302</v>
      </c>
      <c r="C3" s="121" t="s">
        <v>564</v>
      </c>
      <c r="D3" s="18">
        <v>256</v>
      </c>
      <c r="E3" s="18">
        <f>QUOTIENT(D3+7,8)</f>
        <v>32</v>
      </c>
      <c r="F3" s="18">
        <f t="shared" ref="F3:F7" si="1">QUOTIENT(E3+1,2)</f>
        <v>16</v>
      </c>
      <c r="G3" s="54" t="s">
        <v>738</v>
      </c>
      <c r="H3" s="18" t="s">
        <v>294</v>
      </c>
    </row>
    <row r="4" spans="1:8" x14ac:dyDescent="0.25">
      <c r="A4" s="53" t="str">
        <f t="shared" si="0"/>
        <v>1FB0</v>
      </c>
      <c r="B4" s="154" t="s">
        <v>302</v>
      </c>
      <c r="C4" s="121" t="s">
        <v>565</v>
      </c>
      <c r="D4" s="18">
        <v>384</v>
      </c>
      <c r="E4" s="18">
        <f t="shared" ref="E4:E7" si="2">QUOTIENT(D4+7,8)</f>
        <v>48</v>
      </c>
      <c r="F4" s="18">
        <f t="shared" si="1"/>
        <v>24</v>
      </c>
      <c r="G4" s="54" t="s">
        <v>303</v>
      </c>
      <c r="H4" s="18" t="s">
        <v>294</v>
      </c>
    </row>
    <row r="5" spans="1:8" x14ac:dyDescent="0.25">
      <c r="A5" s="53" t="str">
        <f t="shared" si="0"/>
        <v>1FC8</v>
      </c>
      <c r="B5" s="154" t="s">
        <v>302</v>
      </c>
      <c r="C5" s="121" t="s">
        <v>564</v>
      </c>
      <c r="D5" s="18">
        <v>256</v>
      </c>
      <c r="E5" s="18">
        <f t="shared" si="2"/>
        <v>32</v>
      </c>
      <c r="F5" s="18">
        <f t="shared" si="1"/>
        <v>16</v>
      </c>
      <c r="G5" s="54" t="s">
        <v>739</v>
      </c>
      <c r="H5" s="18" t="s">
        <v>294</v>
      </c>
    </row>
    <row r="6" spans="1:8" x14ac:dyDescent="0.25">
      <c r="A6" s="53" t="str">
        <f t="shared" si="0"/>
        <v>1FD8</v>
      </c>
      <c r="B6" s="154" t="s">
        <v>302</v>
      </c>
      <c r="C6" s="121" t="s">
        <v>564</v>
      </c>
      <c r="D6" s="18">
        <v>256</v>
      </c>
      <c r="E6" s="18">
        <f t="shared" si="2"/>
        <v>32</v>
      </c>
      <c r="F6" s="18">
        <f t="shared" si="1"/>
        <v>16</v>
      </c>
      <c r="G6" s="54" t="s">
        <v>304</v>
      </c>
      <c r="H6" s="18" t="s">
        <v>305</v>
      </c>
    </row>
    <row r="7" spans="1:8" x14ac:dyDescent="0.25">
      <c r="A7" s="53" t="str">
        <f t="shared" si="0"/>
        <v>1FE8</v>
      </c>
      <c r="B7" s="154" t="s">
        <v>302</v>
      </c>
      <c r="C7" s="121" t="s">
        <v>565</v>
      </c>
      <c r="D7" s="18">
        <v>384</v>
      </c>
      <c r="E7" s="18">
        <f t="shared" si="2"/>
        <v>48</v>
      </c>
      <c r="F7" s="18">
        <f t="shared" si="1"/>
        <v>24</v>
      </c>
      <c r="G7" s="54" t="s">
        <v>26</v>
      </c>
      <c r="H7" s="18"/>
    </row>
    <row r="8" spans="1:8" ht="19.5" customHeight="1" x14ac:dyDescent="0.25">
      <c r="A8" s="55" t="str">
        <f t="shared" si="0"/>
        <v>2000</v>
      </c>
      <c r="B8" s="55" t="s">
        <v>292</v>
      </c>
      <c r="C8" s="55"/>
      <c r="D8" s="56">
        <f>SUM(D2:D7)</f>
        <v>2048</v>
      </c>
      <c r="E8" s="56">
        <f>SUM(E2:E7)</f>
        <v>256</v>
      </c>
      <c r="F8" s="56">
        <f>SUM(F2:F7)</f>
        <v>128</v>
      </c>
      <c r="G8" s="56"/>
      <c r="H8" s="56"/>
    </row>
    <row r="9" spans="1:8" ht="17.25" customHeight="1" x14ac:dyDescent="0.25">
      <c r="A9" s="16">
        <v>80</v>
      </c>
      <c r="B9" s="16" t="s">
        <v>23</v>
      </c>
      <c r="C9" s="16"/>
      <c r="D9" s="16">
        <f>F8*16</f>
        <v>2048</v>
      </c>
      <c r="E9" s="16">
        <f t="shared" ref="E9" si="3">QUOTIENT(D9+7,8)</f>
        <v>256</v>
      </c>
      <c r="F9" s="16">
        <f t="shared" ref="F9" si="4">QUOTIENT(E9+1,2)</f>
        <v>128</v>
      </c>
    </row>
  </sheetData>
  <phoneticPr fontId="1" type="noConversion"/>
  <pageMargins left="0.7" right="0.7" top="0.75" bottom="0.75" header="0.3" footer="0.3"/>
  <pageSetup paperSize="9" scale="4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7"/>
  <sheetViews>
    <sheetView topLeftCell="A3" workbookViewId="0">
      <selection activeCell="B4" sqref="B4"/>
    </sheetView>
  </sheetViews>
  <sheetFormatPr defaultRowHeight="16.5" x14ac:dyDescent="0.25"/>
  <cols>
    <col min="1" max="1" width="19.625" customWidth="1"/>
    <col min="2" max="2" width="93.375" customWidth="1"/>
    <col min="3" max="3" width="38.75" customWidth="1"/>
  </cols>
  <sheetData>
    <row r="1" spans="1:3" ht="21" customHeight="1" x14ac:dyDescent="0.25">
      <c r="A1" s="174" t="s">
        <v>641</v>
      </c>
      <c r="B1" s="175"/>
      <c r="C1" s="176"/>
    </row>
    <row r="2" spans="1:3" x14ac:dyDescent="0.25">
      <c r="A2" s="161" t="s">
        <v>638</v>
      </c>
      <c r="B2" s="161" t="s">
        <v>639</v>
      </c>
      <c r="C2" s="161" t="s">
        <v>640</v>
      </c>
    </row>
    <row r="3" spans="1:3" ht="63" customHeight="1" x14ac:dyDescent="0.25">
      <c r="A3" s="166" t="s">
        <v>740</v>
      </c>
      <c r="B3" s="167" t="s">
        <v>741</v>
      </c>
      <c r="C3" s="167"/>
    </row>
    <row r="4" spans="1:3" ht="409.5" x14ac:dyDescent="0.25">
      <c r="A4" s="169" t="s">
        <v>742</v>
      </c>
      <c r="B4" s="168" t="s">
        <v>751</v>
      </c>
      <c r="C4" s="168"/>
    </row>
    <row r="5" spans="1:3" x14ac:dyDescent="0.25">
      <c r="A5" s="166"/>
      <c r="B5" s="167"/>
      <c r="C5" s="167"/>
    </row>
    <row r="6" spans="1:3" x14ac:dyDescent="0.25">
      <c r="A6" s="166"/>
      <c r="B6" s="167"/>
      <c r="C6" s="167"/>
    </row>
    <row r="7" spans="1:3" x14ac:dyDescent="0.25">
      <c r="A7" s="166"/>
      <c r="B7" s="167"/>
      <c r="C7" s="167"/>
    </row>
  </sheetData>
  <mergeCells count="1">
    <mergeCell ref="A1:C1"/>
  </mergeCells>
  <phoneticPr fontId="1" type="noConversion"/>
  <printOptions horizontalCentered="1"/>
  <pageMargins left="0.7" right="0.7" top="0.75" bottom="0.75" header="0.3" footer="0.3"/>
  <pageSetup paperSize="9"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0358a91d-8923-4300-9035-92feb74d70aa">
      <UserInfo>
        <DisplayName/>
        <AccountId xsi:nil="true"/>
        <AccountType/>
      </UserInfo>
    </SharedWithUsers>
    <MediaLengthInSeconds xmlns="94916c3f-a887-466e-9071-419f2f5fc067" xsi:nil="true"/>
    <TaxCatchAll xmlns="0358a91d-8923-4300-9035-92feb74d70aa" xsi:nil="true"/>
    <lcf76f155ced4ddcb4097134ff3c332f xmlns="94916c3f-a887-466e-9071-419f2f5fc06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031FF8E1109D43B2BDF0F43F684A4E" ma:contentTypeVersion="18" ma:contentTypeDescription="Create a new document." ma:contentTypeScope="" ma:versionID="b896ebdbfa452e7a07541eac816e2062">
  <xsd:schema xmlns:xsd="http://www.w3.org/2001/XMLSchema" xmlns:xs="http://www.w3.org/2001/XMLSchema" xmlns:p="http://schemas.microsoft.com/office/2006/metadata/properties" xmlns:ns2="94916c3f-a887-466e-9071-419f2f5fc067" xmlns:ns3="0358a91d-8923-4300-9035-92feb74d70aa" targetNamespace="http://schemas.microsoft.com/office/2006/metadata/properties" ma:root="true" ma:fieldsID="556acc82b7336cf142ff4903a3ab7ecb" ns2:_="" ns3:_="">
    <xsd:import namespace="94916c3f-a887-466e-9071-419f2f5fc067"/>
    <xsd:import namespace="0358a91d-8923-4300-9035-92feb74d70a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916c3f-a887-466e-9071-419f2f5fc0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6261654-dfa6-417a-968c-3a48b853377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58a91d-8923-4300-9035-92feb74d70a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7809e24-e40d-4a8f-9591-d382803efc37}" ma:internalName="TaxCatchAll" ma:showField="CatchAllData" ma:web="0358a91d-8923-4300-9035-92feb74d7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344122-BFEB-4801-99ED-3DACB961442B}">
  <ds:schemaRefs>
    <ds:schemaRef ds:uri="http://schemas.microsoft.com/office/2006/metadata/properties"/>
    <ds:schemaRef ds:uri="94916c3f-a887-466e-9071-419f2f5fc067"/>
    <ds:schemaRef ds:uri="http://purl.org/dc/terms/"/>
    <ds:schemaRef ds:uri="http://schemas.openxmlformats.org/package/2006/metadata/core-properties"/>
    <ds:schemaRef ds:uri="http://schemas.microsoft.com/office/2006/documentManagement/types"/>
    <ds:schemaRef ds:uri="0358a91d-8923-4300-9035-92feb74d70aa"/>
    <ds:schemaRef ds:uri="http://purl.org/dc/elements/1.1/"/>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6808489-AD29-49EF-A920-5725306266D8}">
  <ds:schemaRefs>
    <ds:schemaRef ds:uri="http://schemas.microsoft.com/sharepoint/v3/contenttype/forms"/>
  </ds:schemaRefs>
</ds:datastoreItem>
</file>

<file path=customXml/itemProps3.xml><?xml version="1.0" encoding="utf-8"?>
<ds:datastoreItem xmlns:ds="http://schemas.openxmlformats.org/officeDocument/2006/customXml" ds:itemID="{15AAF0E9-722A-46AD-84E0-1D9BE67AFF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916c3f-a887-466e-9071-419f2f5fc067"/>
    <ds:schemaRef ds:uri="0358a91d-8923-4300-9035-92feb74d7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具名範圍</vt:lpstr>
      </vt:variant>
      <vt:variant>
        <vt:i4>5</vt:i4>
      </vt:variant>
    </vt:vector>
  </HeadingPairs>
  <TitlesOfParts>
    <vt:vector size="16" baseType="lpstr">
      <vt:lpstr>Summary</vt:lpstr>
      <vt:lpstr>OTPROM</vt:lpstr>
      <vt:lpstr>OTPRBP</vt:lpstr>
      <vt:lpstr>OTPCFG</vt:lpstr>
      <vt:lpstr>OTPSTRAP</vt:lpstr>
      <vt:lpstr>OTPSTRAP_EXT</vt:lpstr>
      <vt:lpstr>OTPUSR</vt:lpstr>
      <vt:lpstr>OTPSEC</vt:lpstr>
      <vt:lpstr>OTPCAL</vt:lpstr>
      <vt:lpstr>OTPPUF</vt:lpstr>
      <vt:lpstr>Version History</vt:lpstr>
      <vt:lpstr>OTPCAL!Print_Area</vt:lpstr>
      <vt:lpstr>OTPPUF!Print_Area</vt:lpstr>
      <vt:lpstr>OTPRBP!Print_Area</vt:lpstr>
      <vt:lpstr>OTPROM!Print_Area</vt:lpstr>
      <vt:lpstr>'Version History'!Print_Area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Maggie Wu</dc:creator>
  <cp:keywords/>
  <dc:description/>
  <cp:lastModifiedBy>Jheng-Shuo Lin</cp:lastModifiedBy>
  <cp:revision/>
  <dcterms:created xsi:type="dcterms:W3CDTF">2023-01-30T05:35:21Z</dcterms:created>
  <dcterms:modified xsi:type="dcterms:W3CDTF">2026-08-06T10:21:08Z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0x010100FB031FF8E1109D43B2BDF0F43F684A4E</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