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sdk\ast2700\OTP\memory\"/>
    </mc:Choice>
  </mc:AlternateContent>
  <xr:revisionPtr revIDLastSave="0" documentId="13_ncr:1_{492CBAEF-C335-486C-B091-CEB733F6C26D}" xr6:coauthVersionLast="47" xr6:coauthVersionMax="47" xr10:uidLastSave="{00000000-0000-0000-0000-000000000000}"/>
  <bookViews>
    <workbookView xWindow="28680" yWindow="-120" windowWidth="29040" windowHeight="16440" activeTab="1" xr2:uid="{40652B66-A45B-48BE-91E6-4A13E915CABA}"/>
  </bookViews>
  <sheets>
    <sheet name="Summary" sheetId="6" r:id="rId1"/>
    <sheet name="OTPROM" sheetId="26" r:id="rId2"/>
    <sheet name="OTPRBP" sheetId="22" r:id="rId3"/>
    <sheet name="OTPCFG" sheetId="21" r:id="rId4"/>
    <sheet name="OTPSTRAP" sheetId="28" r:id="rId5"/>
    <sheet name="OTPSTRAP_EXT" sheetId="29" r:id="rId6"/>
    <sheet name="OTPUSR" sheetId="27" r:id="rId7"/>
    <sheet name="OTPSEC" sheetId="25" r:id="rId8"/>
    <sheet name="OTPCAL" sheetId="15" r:id="rId9"/>
    <sheet name="OTPPUF" sheetId="30" r:id="rId10"/>
  </sheets>
  <definedNames>
    <definedName name="otp_macro_base" localSheetId="9">#REF!</definedName>
    <definedName name="otp_macro_base">#REF!</definedName>
    <definedName name="_xlnm.Print_Area" localSheetId="8">OTPCAL!$A$1:$G$11</definedName>
    <definedName name="_xlnm.Print_Area" localSheetId="3">OTPCFG!$A$1:$G$130</definedName>
    <definedName name="_xlnm.Print_Area" localSheetId="9">OTPPUF!$A$1:$G$8</definedName>
    <definedName name="_xlnm.Print_Area" localSheetId="2">OTPRBP!$A$1:$H$12</definedName>
    <definedName name="_xlnm.Print_Area" localSheetId="1">OTPROM!$A$1:$G$3</definedName>
    <definedName name="_xlnm.Print_Area" localSheetId="7">OTPSEC!$A$1:$G$46</definedName>
    <definedName name="_xlnm.Print_Area" localSheetId="4">OTPSTRAP!$A$1:$F$52</definedName>
    <definedName name="_xlnm.Print_Area" localSheetId="5">OTPSTRAP_EXT!$A$1:$F$93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4" i="25" l="1"/>
  <c r="C8" i="30"/>
  <c r="D7" i="30"/>
  <c r="E7" i="30" s="1"/>
  <c r="D6" i="30"/>
  <c r="E6" i="30" s="1"/>
  <c r="D5" i="30"/>
  <c r="D4" i="30"/>
  <c r="E4" i="30" s="1"/>
  <c r="D3" i="30"/>
  <c r="E3" i="30" s="1"/>
  <c r="D2" i="30"/>
  <c r="E2" i="30" s="1"/>
  <c r="D8" i="30" l="1"/>
  <c r="A3" i="30"/>
  <c r="A4" i="30" s="1"/>
  <c r="A5" i="30" s="1"/>
  <c r="E5" i="30"/>
  <c r="E8" i="30" s="1"/>
  <c r="C9" i="30" s="1"/>
  <c r="D9" i="30" s="1"/>
  <c r="E9" i="30" s="1"/>
  <c r="A6" i="30" l="1"/>
  <c r="A7" i="30" s="1"/>
  <c r="A8" i="30" s="1"/>
  <c r="C3" i="27" l="1"/>
  <c r="D2" i="27"/>
  <c r="D3" i="27" s="1"/>
  <c r="E2" i="27" l="1"/>
  <c r="E3" i="27" l="1"/>
  <c r="C4" i="27" s="1"/>
  <c r="D4" i="27" s="1"/>
  <c r="E4" i="27" s="1"/>
  <c r="A4" i="27" s="1"/>
  <c r="A3" i="27"/>
  <c r="C3" i="26" l="1"/>
  <c r="D2" i="26"/>
  <c r="D3" i="26" s="1"/>
  <c r="D9" i="22"/>
  <c r="E9" i="22" s="1"/>
  <c r="D10" i="22"/>
  <c r="E10" i="22" s="1"/>
  <c r="D5" i="15"/>
  <c r="E5" i="15" s="1"/>
  <c r="E49" i="25"/>
  <c r="F49" i="25" s="1"/>
  <c r="C49" i="25"/>
  <c r="E44" i="25"/>
  <c r="F44" i="25" s="1"/>
  <c r="E43" i="25"/>
  <c r="F43" i="25" s="1"/>
  <c r="E42" i="25"/>
  <c r="F42" i="25" s="1"/>
  <c r="E41" i="25"/>
  <c r="F41" i="25" s="1"/>
  <c r="E40" i="25"/>
  <c r="F40" i="25" s="1"/>
  <c r="E39" i="25"/>
  <c r="F39" i="25" s="1"/>
  <c r="E38" i="25"/>
  <c r="F38" i="25" s="1"/>
  <c r="E37" i="25"/>
  <c r="F37" i="25" s="1"/>
  <c r="E36" i="25"/>
  <c r="F36" i="25" s="1"/>
  <c r="E35" i="25"/>
  <c r="F35" i="25" s="1"/>
  <c r="E34" i="25"/>
  <c r="F34" i="25" s="1"/>
  <c r="E33" i="25"/>
  <c r="F33" i="25" s="1"/>
  <c r="E32" i="25"/>
  <c r="F32" i="25" s="1"/>
  <c r="E31" i="25"/>
  <c r="F31" i="25" s="1"/>
  <c r="E30" i="25"/>
  <c r="F30" i="25" s="1"/>
  <c r="E29" i="25"/>
  <c r="F29" i="25" s="1"/>
  <c r="E28" i="25"/>
  <c r="F28" i="25" s="1"/>
  <c r="E27" i="25"/>
  <c r="F27" i="25" s="1"/>
  <c r="E26" i="25"/>
  <c r="F26" i="25" s="1"/>
  <c r="E25" i="25"/>
  <c r="F25" i="25" s="1"/>
  <c r="E24" i="25"/>
  <c r="F24" i="25" s="1"/>
  <c r="C24" i="25"/>
  <c r="D23" i="25"/>
  <c r="E22" i="25"/>
  <c r="F22" i="25" s="1"/>
  <c r="E21" i="25"/>
  <c r="F21" i="25" s="1"/>
  <c r="E20" i="25"/>
  <c r="F20" i="25" s="1"/>
  <c r="E19" i="25"/>
  <c r="F19" i="25" s="1"/>
  <c r="E18" i="25"/>
  <c r="F18" i="25" s="1"/>
  <c r="E17" i="25"/>
  <c r="F17" i="25" s="1"/>
  <c r="E16" i="25"/>
  <c r="F16" i="25" s="1"/>
  <c r="E15" i="25"/>
  <c r="F15" i="25" s="1"/>
  <c r="E14" i="25"/>
  <c r="F14" i="25" s="1"/>
  <c r="E13" i="25"/>
  <c r="F13" i="25" s="1"/>
  <c r="E12" i="25"/>
  <c r="F12" i="25" s="1"/>
  <c r="E11" i="25"/>
  <c r="F11" i="25" s="1"/>
  <c r="E10" i="25"/>
  <c r="F10" i="25" s="1"/>
  <c r="E9" i="25"/>
  <c r="F9" i="25" s="1"/>
  <c r="E8" i="25"/>
  <c r="F8" i="25" s="1"/>
  <c r="E7" i="25"/>
  <c r="F7" i="25" s="1"/>
  <c r="E6" i="25"/>
  <c r="F6" i="25" s="1"/>
  <c r="E5" i="25"/>
  <c r="F5" i="25" s="1"/>
  <c r="E4" i="25"/>
  <c r="F4" i="25" s="1"/>
  <c r="E3" i="25"/>
  <c r="F3" i="25" s="1"/>
  <c r="E2" i="25"/>
  <c r="C2" i="25"/>
  <c r="D9" i="15"/>
  <c r="E9" i="15" s="1"/>
  <c r="D8" i="15"/>
  <c r="E8" i="15" s="1"/>
  <c r="D7" i="15"/>
  <c r="E7" i="15" s="1"/>
  <c r="D6" i="15"/>
  <c r="E6" i="15" s="1"/>
  <c r="D4" i="15"/>
  <c r="E4" i="15" s="1"/>
  <c r="D3" i="15"/>
  <c r="E3" i="15" s="1"/>
  <c r="D2" i="15"/>
  <c r="E2" i="15" s="1"/>
  <c r="D8" i="22"/>
  <c r="E8" i="22" s="1"/>
  <c r="D7" i="22"/>
  <c r="E7" i="22" s="1"/>
  <c r="D6" i="22"/>
  <c r="E6" i="22" s="1"/>
  <c r="D5" i="22"/>
  <c r="E5" i="22" s="1"/>
  <c r="D4" i="22"/>
  <c r="E4" i="22" s="1"/>
  <c r="C12" i="22"/>
  <c r="D11" i="22"/>
  <c r="E11" i="22" s="1"/>
  <c r="D3" i="22"/>
  <c r="E3" i="22" s="1"/>
  <c r="D2" i="22"/>
  <c r="E2" i="22" s="1"/>
  <c r="F6" i="6"/>
  <c r="D6" i="6" s="1"/>
  <c r="F7" i="6"/>
  <c r="E2" i="26" l="1"/>
  <c r="E23" i="25"/>
  <c r="F2" i="25"/>
  <c r="F45" i="25"/>
  <c r="B25" i="25"/>
  <c r="A3" i="22"/>
  <c r="A4" i="22" s="1"/>
  <c r="A5" i="22" s="1"/>
  <c r="A6" i="22" s="1"/>
  <c r="A7" i="22" s="1"/>
  <c r="A8" i="22" s="1"/>
  <c r="A9" i="22" s="1"/>
  <c r="A10" i="22" s="1"/>
  <c r="A11" i="22" s="1"/>
  <c r="E12" i="22"/>
  <c r="C13" i="22" s="1"/>
  <c r="D13" i="22" s="1"/>
  <c r="E13" i="22" s="1"/>
  <c r="A13" i="22" s="1"/>
  <c r="D12" i="22"/>
  <c r="C11" i="15"/>
  <c r="D10" i="15"/>
  <c r="E14" i="6"/>
  <c r="D7" i="6"/>
  <c r="F8" i="6"/>
  <c r="D8" i="6" s="1"/>
  <c r="F9" i="6"/>
  <c r="D9" i="6" s="1"/>
  <c r="F10" i="6"/>
  <c r="D10" i="6" s="1"/>
  <c r="F11" i="6"/>
  <c r="D11" i="6" s="1"/>
  <c r="F12" i="6"/>
  <c r="D12" i="6" s="1"/>
  <c r="F13" i="6"/>
  <c r="D13" i="6" s="1"/>
  <c r="F5" i="6"/>
  <c r="D5" i="6" s="1"/>
  <c r="B6" i="6" s="1"/>
  <c r="B7" i="6" l="1"/>
  <c r="C6" i="6" s="1"/>
  <c r="C5" i="6"/>
  <c r="E3" i="26"/>
  <c r="C4" i="26" s="1"/>
  <c r="D4" i="26" s="1"/>
  <c r="E4" i="26" s="1"/>
  <c r="A4" i="26" s="1"/>
  <c r="A3" i="26"/>
  <c r="A12" i="22"/>
  <c r="B26" i="25"/>
  <c r="C25" i="25"/>
  <c r="F23" i="25"/>
  <c r="F46" i="25" s="1"/>
  <c r="B3" i="25"/>
  <c r="D11" i="15"/>
  <c r="E10" i="15"/>
  <c r="E11" i="15" s="1"/>
  <c r="C12" i="15" s="1"/>
  <c r="D12" i="15" s="1"/>
  <c r="E12" i="15" s="1"/>
  <c r="A12" i="15" s="1"/>
  <c r="A3" i="15"/>
  <c r="A4" i="15" s="1"/>
  <c r="A5" i="15" s="1"/>
  <c r="A6" i="15" s="1"/>
  <c r="A7" i="15" s="1"/>
  <c r="A8" i="15" s="1"/>
  <c r="A9" i="15" s="1"/>
  <c r="A10" i="15" s="1"/>
  <c r="F14" i="6"/>
  <c r="D14" i="6"/>
  <c r="B8" i="6" l="1"/>
  <c r="C7" i="6" s="1"/>
  <c r="B4" i="25"/>
  <c r="C3" i="25"/>
  <c r="D46" i="25"/>
  <c r="B46" i="25"/>
  <c r="B27" i="25"/>
  <c r="C26" i="25"/>
  <c r="B9" i="6" l="1"/>
  <c r="C8" i="6" s="1"/>
  <c r="B28" i="25"/>
  <c r="C27" i="25"/>
  <c r="B5" i="25"/>
  <c r="C4" i="25"/>
  <c r="B10" i="6" l="1"/>
  <c r="C9" i="6" s="1"/>
  <c r="A11" i="15"/>
  <c r="B6" i="25"/>
  <c r="C5" i="25"/>
  <c r="B29" i="25"/>
  <c r="C28" i="25"/>
  <c r="B11" i="6" l="1"/>
  <c r="B12" i="6" s="1"/>
  <c r="B30" i="25"/>
  <c r="C29" i="25"/>
  <c r="B7" i="25"/>
  <c r="C6" i="25"/>
  <c r="C10" i="6" l="1"/>
  <c r="B8" i="25"/>
  <c r="C7" i="25"/>
  <c r="B31" i="25"/>
  <c r="C30" i="25"/>
  <c r="B13" i="6"/>
  <c r="C11" i="6"/>
  <c r="B32" i="25" l="1"/>
  <c r="C31" i="25"/>
  <c r="B9" i="25"/>
  <c r="C8" i="25"/>
  <c r="C12" i="6"/>
  <c r="B14" i="6"/>
  <c r="C13" i="6" s="1"/>
  <c r="B10" i="25" l="1"/>
  <c r="C9" i="25"/>
  <c r="B33" i="25"/>
  <c r="C32" i="25"/>
  <c r="B34" i="25" l="1"/>
  <c r="C33" i="25"/>
  <c r="B11" i="25"/>
  <c r="C10" i="25"/>
  <c r="B12" i="25" l="1"/>
  <c r="C11" i="25"/>
  <c r="B35" i="25"/>
  <c r="C34" i="25"/>
  <c r="B36" i="25" l="1"/>
  <c r="C35" i="25"/>
  <c r="B13" i="25"/>
  <c r="C12" i="25"/>
  <c r="B14" i="25" l="1"/>
  <c r="C13" i="25"/>
  <c r="B37" i="25"/>
  <c r="C36" i="25"/>
  <c r="B38" i="25" l="1"/>
  <c r="C37" i="25"/>
  <c r="B15" i="25"/>
  <c r="C14" i="25"/>
  <c r="B16" i="25" l="1"/>
  <c r="C15" i="25"/>
  <c r="B39" i="25"/>
  <c r="C38" i="25"/>
  <c r="B40" i="25" l="1"/>
  <c r="C39" i="25"/>
  <c r="B17" i="25"/>
  <c r="C16" i="25"/>
  <c r="B18" i="25" l="1"/>
  <c r="C17" i="25"/>
  <c r="B41" i="25"/>
  <c r="C40" i="25"/>
  <c r="B42" i="25" l="1"/>
  <c r="C41" i="25"/>
  <c r="B19" i="25"/>
  <c r="C18" i="25"/>
  <c r="B20" i="25" l="1"/>
  <c r="C19" i="25"/>
  <c r="B43" i="25"/>
  <c r="C42" i="25"/>
  <c r="C43" i="25" l="1"/>
  <c r="B21" i="25"/>
  <c r="C20" i="25"/>
  <c r="B22" i="25" l="1"/>
  <c r="B23" i="25" s="1"/>
  <c r="C21" i="25"/>
  <c r="C22" i="25" l="1"/>
  <c r="C44" i="25" l="1"/>
  <c r="B45" i="25"/>
  <c r="C45" i="25" s="1"/>
  <c r="C23" i="25" l="1"/>
</calcChain>
</file>

<file path=xl/sharedStrings.xml><?xml version="1.0" encoding="utf-8"?>
<sst xmlns="http://schemas.openxmlformats.org/spreadsheetml/2006/main" count="1198" uniqueCount="897">
  <si>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</si>
  <si>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</si>
  <si>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</si>
  <si>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</si>
  <si>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</si>
  <si>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</si>
  <si>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</si>
  <si>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</si>
  <si>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</si>
  <si>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</si>
  <si>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</si>
  <si>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</si>
  <si>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OTPSTRAPEXT</t>
  </si>
  <si>
    <t>OTPUSR</t>
    <phoneticPr fontId="1" type="noConversion"/>
  </si>
  <si>
    <t>OTPSEC</t>
    <phoneticPr fontId="1" type="noConversion"/>
  </si>
  <si>
    <t>OTPCAL</t>
    <phoneticPr fontId="1" type="noConversion"/>
  </si>
  <si>
    <t>OTPPUF</t>
    <phoneticPr fontId="1" type="noConversion"/>
  </si>
  <si>
    <t>end</t>
    <phoneticPr fontId="1" type="noConversion"/>
  </si>
  <si>
    <t>NOTICE: The blue color fields show what would be provisioned by ASPEED
OTPROM, OTPCFG, OTPSTRAP, OTPCAL, OTPPUF</t>
    <phoneticPr fontId="1" type="noConversion"/>
  </si>
  <si>
    <t>NOTICE: The red color fields show what should be provisioned by Customers 
for Secure Boot
OTPSTRAP, OTPSEC</t>
    <phoneticPr fontId="1" type="noConversion"/>
  </si>
  <si>
    <t>NOTICE: The purple color fields show what should be provisioned by Customers 
for Production
OTPSTRAP</t>
    <phoneticPr fontId="1" type="noConversion"/>
  </si>
  <si>
    <t>Start address
(word)</t>
    <phoneticPr fontId="1" type="noConversion"/>
  </si>
  <si>
    <t>Name</t>
  </si>
  <si>
    <t>Size
(bits)</t>
    <phoneticPr fontId="1" type="noConversion"/>
  </si>
  <si>
    <t>Size
(bytes)</t>
    <phoneticPr fontId="1" type="noConversion"/>
  </si>
  <si>
    <t>Size
(word dec)</t>
    <phoneticPr fontId="1" type="noConversion"/>
  </si>
  <si>
    <t>Description</t>
    <phoneticPr fontId="1" type="noConversion"/>
  </si>
  <si>
    <t>Note</t>
    <phoneticPr fontId="1" type="noConversion"/>
  </si>
  <si>
    <t>0</t>
    <phoneticPr fontId="1" type="noConversion"/>
  </si>
  <si>
    <t>ROM patch</t>
    <phoneticPr fontId="1" type="noConversion"/>
  </si>
  <si>
    <t>SoC ROM supports pre &amp; post ROM patch.
- Pre ROM patch setting see OTPCFG4 &amp; 5.
- Post ROM patch setting see OTPCFG6 &amp; 7.</t>
    <phoneticPr fontId="1" type="noConversion"/>
  </si>
  <si>
    <t>Including pre/post ROM patch</t>
    <phoneticPr fontId="1" type="noConversion"/>
  </si>
  <si>
    <t>Sum</t>
  </si>
  <si>
    <t>Actual</t>
    <phoneticPr fontId="1" type="noConversion"/>
  </si>
  <si>
    <t>HW effect</t>
    <phoneticPr fontId="1" type="noConversion"/>
  </si>
  <si>
    <t>3E0</t>
    <phoneticPr fontId="1" type="noConversion"/>
  </si>
  <si>
    <t>Reserved</t>
    <phoneticPr fontId="1" type="noConversion"/>
  </si>
  <si>
    <t>Reserved</t>
  </si>
  <si>
    <t>Caliptra Owner public key hash retire</t>
  </si>
  <si>
    <t>Caliptra Owner public key hash retire bits
Caliptra owner pk hash is used to populate into Caliptra fuse for Caliptra owner keys verification. AST27x0 supports up to 16 Caliptra owner pk hash and supports pk hash retirement feature.
Check Caliptra spec for more details. (https://github.com/chipsalliance/Caliptra/blob/main/doc/caliptra_1x/Caliptra.md)
Effect: Secure boot is enabled
Policy: OTPCFG0[8]</t>
  </si>
  <si>
    <t>Secure Boot - key retire</t>
    <phoneticPr fontId="1" type="noConversion"/>
  </si>
  <si>
    <t>SoC Manifest Hardware SVN</t>
    <phoneticPr fontId="1" type="noConversion"/>
  </si>
  <si>
    <t>SoC Manifest hardware security version number
SoC Manifest SVN must be equal to or greater than hardware SVN for rollback prevention otherwise the secure boot check is failure. It's implemented a hardware write protection to prevent malicious attack, the new SVN (to-be prog) must be smaller than or equal to current SVN.
Effect: Secure boot is enabled
Boot up Policy: SoC Manifest SVN &gt;= HW SoC Manifest SVN</t>
  </si>
  <si>
    <t>Secure Boot - SVN</t>
    <phoneticPr fontId="1" type="noConversion"/>
  </si>
  <si>
    <t>Caliptra FMC Hardware SVN</t>
  </si>
  <si>
    <t>Caliptra fuse: FMC KEY MANIFEST SVN
Effect: Secure boot is enabled
Policy: FMC SVN &gt;= HW FMC SVN</t>
  </si>
  <si>
    <t>can program &lt; SW SVN</t>
    <phoneticPr fontId="1" type="noConversion"/>
  </si>
  <si>
    <t>Caliptra Runtime Hardware SVN</t>
  </si>
  <si>
    <t>Caliptra fuse: RUNTIME SVN
Effect: Secure boot is enabled
Policy: FMC SVN &gt;= HW FMC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</si>
  <si>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</si>
  <si>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</si>
  <si>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</si>
  <si>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</si>
  <si>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</si>
  <si>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REG32</t>
    <phoneticPr fontId="1" type="noConversion"/>
  </si>
  <si>
    <t>MSB</t>
    <phoneticPr fontId="1" type="noConversion"/>
  </si>
  <si>
    <t>LSB</t>
    <phoneticPr fontId="1" type="noConversion"/>
  </si>
  <si>
    <t>Name</t>
    <phoneticPr fontId="1" type="noConversion"/>
  </si>
  <si>
    <t>OTPCFG0/SCUIO880</t>
  </si>
  <si>
    <t>otp_mem_lock_enable</t>
    <phoneticPr fontId="7" type="noConversion"/>
  </si>
  <si>
    <t>OTP memory lock enable
This bit will lock whole OTP memory and is un recoverable</t>
    <phoneticPr fontId="7" type="noConversion"/>
  </si>
  <si>
    <t>wr_protect_puf</t>
    <phoneticPr fontId="1" type="noConversion"/>
  </si>
  <si>
    <t>Enable static write protection of OTPPUF region
It's enabled during ASPEED manufacturing.</t>
    <phoneticPr fontId="0" type="noConversion"/>
  </si>
  <si>
    <t>dis_otp_bist</t>
    <phoneticPr fontId="7" type="noConversion"/>
  </si>
  <si>
    <t>Disable OTP Memory Factory Test Mode
0: enable
1: disable
To prevent security issue of OTP memory. Disabled BIST mode is recommended.</t>
    <phoneticPr fontId="7" type="noConversion"/>
  </si>
  <si>
    <t>Now this only CP/FT pattern will trigger bist
set 1 : mask test pin</t>
    <phoneticPr fontId="7"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</si>
  <si>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</si>
  <si>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</si>
  <si>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</si>
  <si>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</si>
  <si>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</si>
  <si>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</si>
  <si>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7" type="noConversion"/>
  </si>
  <si>
    <t>Enable Secure Boot
0:disable
1:enable
Once it's enabled, the secure boot is always enforced and there is no way to disable it.</t>
    <phoneticPr fontId="0" type="noConversion"/>
  </si>
  <si>
    <t>retire_mechanism_option</t>
    <phoneticPr fontId="1" type="noConversion"/>
  </si>
  <si>
    <t>Key retirement mechanism option enable
0: can only retire itself key #id
1: can retire others key #id except itself
There are some key retire bits in OTPRBP region (ex: OTPRBP0/1/3) used to be programmed if the keys need to be retired. This option chooses the retire mechanism policy for different use cases.</t>
    <phoneticPr fontId="0" type="noConversion"/>
  </si>
  <si>
    <t>wr_protect_otp_strap</t>
    <phoneticPr fontId="7" type="noConversion"/>
  </si>
  <si>
    <t>Enable static write protection of OTPSTRAP region
Once it's enabled, no one can prog the OTPSTRAP region anymore.</t>
    <phoneticPr fontId="0" type="noConversion"/>
  </si>
  <si>
    <t>wr_protect_otp_cfg</t>
    <phoneticPr fontId="7" type="noConversion"/>
  </si>
  <si>
    <t>Enable static write protection of OTPCFG region
Once it's enabled, no one can prog the OTPCFG region anymore.</t>
    <phoneticPr fontId="0" type="noConversion"/>
  </si>
  <si>
    <t>wr_protect_rom</t>
    <phoneticPr fontId="7"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</si>
  <si>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</si>
  <si>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</si>
  <si>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</si>
  <si>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7" type="noConversion"/>
  </si>
  <si>
    <t>Enable static read protection of OTPSTRAP region
Once it's enabled, no one can read the OTPSTRAP region anymore.</t>
    <phoneticPr fontId="0" type="noConversion"/>
  </si>
  <si>
    <t>rd_protect_otp_cfg</t>
    <phoneticPr fontId="7" type="noConversion"/>
  </si>
  <si>
    <t>Enable static read protection of OTPCFG region
Once it's enabled, no one can read the OTPCFG region anymore.</t>
    <phoneticPr fontId="0" type="noConversion"/>
  </si>
  <si>
    <t>rd_protect_rom</t>
    <phoneticPr fontId="7"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</si>
  <si>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</si>
  <si>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</si>
  <si>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</si>
  <si>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401</t>
    <phoneticPr fontId="7" type="noConversion"/>
  </si>
  <si>
    <t>OTPCFG1/SCUIO880
(OTPCFG0 BK)</t>
  </si>
  <si>
    <t>CONCFG0_BK</t>
    <phoneticPr fontId="7" type="noConversion"/>
  </si>
  <si>
    <t>Read OTPCFG0 = OTPCFG0 | OTPCFG1
This is a backup of OTPCFG0</t>
    <phoneticPr fontId="0" type="noConversion"/>
  </si>
  <si>
    <t>402</t>
  </si>
  <si>
    <t>OTPCFG2/SCUIO884</t>
    <phoneticPr fontId="1" type="noConversion"/>
  </si>
  <si>
    <t>puf_source</t>
    <phoneticPr fontId="1" type="noConversion"/>
  </si>
  <si>
    <t>0: NIST-TRNG
1: SCU-TRNG</t>
    <phoneticPr fontId="1" type="noConversion"/>
  </si>
  <si>
    <t>dis_low_secure_key0</t>
  </si>
  <si>
    <t>Disable low security key #0
0:OEM DSS key #0 can be enable by hardware strap pin
FWSPIMISO 
1: OEM DSS key #0 is disabled.
SoC FMC image verification starts from OEM DSS #1 public key.</t>
    <phoneticPr fontId="0" type="noConversion"/>
  </si>
  <si>
    <t>dev_life_cycle_state</t>
    <phoneticPr fontId="1" type="noConversion"/>
  </si>
  <si>
    <t>The Device Life Cycle State (LCS). It's the source of Security State.
0: Un-provisioned
1: Manufacturing
2: Reserved
3: Production
The LCS is populated in Caliptra fuse. It's configured to Manufacturing during ASPEED manufacturing.</t>
  </si>
  <si>
    <t>SCUIO130[10:8]: debug state + device life cycle state</t>
    <phoneticPr fontId="1" type="noConversion"/>
  </si>
  <si>
    <t>Boot From UART Port Selection</t>
  </si>
  <si>
    <t>Boot From UART Port Selection
0: IO12 (BMC default port)
1: IO0 (Node 0 SUART common port)
2: IO5 (Node 1 SUART common port)</t>
  </si>
  <si>
    <t>en_emmc_sw_reset</t>
  </si>
  <si>
    <t>Enable eMMC software reset
0: eMMC software reset disable, use HW pin strap to do hardware reset
1: eMMC software reset enable. Always do software 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</si>
  <si>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</si>
  <si>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</si>
  <si>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</si>
  <si>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</si>
  <si>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</si>
  <si>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Disable ROM Patch code
0: If the OTPCFG2[0] is set, the Boot ROM would
execute the OTP patch codes which has been programmed into
OTPROM region.
1: The Boot ROM would ignore pre ROM patch.
The ROM patch is the early stage of the boot ROM boot process.</t>
  </si>
  <si>
    <t>403</t>
    <phoneticPr fontId="7" type="noConversion"/>
  </si>
  <si>
    <t>OTPCFG3/SCUIO884
(OTPCFG2 BK)</t>
  </si>
  <si>
    <t>CONCFG2_BK</t>
  </si>
  <si>
    <t>Read OTPCFG2 = OTPCFG2 | OTPCFG3
This is a backup of OTPCFG2</t>
    <phoneticPr fontId="0" type="noConversion"/>
  </si>
  <si>
    <t>OTPCFG4/SCUIO888</t>
  </si>
  <si>
    <t>OTP Patch Code location 1</t>
  </si>
  <si>
    <t>OTP patch code offset
The OTP patch code location in OTPROM Region.</t>
  </si>
  <si>
    <t>2700 OTP ROM region: 0x0~0x3e0 word</t>
    <phoneticPr fontId="1" type="noConversion"/>
  </si>
  <si>
    <t>otp_patch_vld 1</t>
  </si>
  <si>
    <t>Enable otp patch 1
0: otp rom patch 1 is invalid
1: otp rom patch 1 is valid</t>
  </si>
  <si>
    <t>405</t>
  </si>
  <si>
    <t>OTPCFG5/SCUIO888</t>
  </si>
  <si>
    <t>OTP Patch Size 1</t>
  </si>
  <si>
    <t>OTP Patch 1 code size (unit: word)
The Boot ROM can execute OTP patch codes in OTPROM region. The OTP patch code size is limited to 16Kbit.</t>
  </si>
  <si>
    <t>2700 16Kb = 1k word =&gt; 10bit</t>
    <phoneticPr fontId="1" type="noConversion"/>
  </si>
  <si>
    <t>OTPCFG6/SCUIO88C</t>
  </si>
  <si>
    <t>OTP Patch Code location 2</t>
  </si>
  <si>
    <t>otp_patch_vld 2</t>
  </si>
  <si>
    <t>Enable otp patch 2
0: otp rom patch 2 is invalid
1: otp rom patch 2 is valid</t>
  </si>
  <si>
    <t>407</t>
  </si>
  <si>
    <t>OTPCFG7/SCUIO88C</t>
  </si>
  <si>
    <t>OTP Patch Size 2</t>
  </si>
  <si>
    <t>OTP Patch 2 code size (unit: word)
The Boot ROM can execute OTP patch codes in OTPROM region. The OTP patch code size is limited to 16Kbit.</t>
  </si>
  <si>
    <t>2700 16Kb= 1k word =&gt; 10bit</t>
    <phoneticPr fontId="1" type="noConversion"/>
  </si>
  <si>
    <t>408</t>
    <phoneticPr fontId="7" type="noConversion"/>
  </si>
  <si>
    <t>OTPCFG8/SCUIO890</t>
  </si>
  <si>
    <t>SoC ECC key retire bits</t>
    <phoneticPr fontId="1" type="noConversion"/>
  </si>
  <si>
    <t>409</t>
  </si>
  <si>
    <t>OTPCFG9/SCUIO890</t>
  </si>
  <si>
    <t>en_auto_load SCU debug control</t>
    <phoneticPr fontId="0" type="noConversion"/>
  </si>
  <si>
    <t>Enable auto load debug control SCU0_0C8 setting
0:disable
1:enable to auto load SCU0_0C8 and SCU1_0C8 value.</t>
    <phoneticPr fontId="0" type="noConversion"/>
  </si>
  <si>
    <t>SCU0_0C8 debug control value</t>
    <phoneticPr fontId="0" type="noConversion"/>
  </si>
  <si>
    <t>SCU0_0C8[14 :0] auto setting value
After SCU1_0C8 is loaded, the write protection SCU0_E04[18] will be set.</t>
    <phoneticPr fontId="0" type="noConversion"/>
  </si>
  <si>
    <t>40A</t>
  </si>
  <si>
    <t>OTPCFG10/SCUIO894</t>
  </si>
  <si>
    <t>SCU1_0C8 debug control value</t>
    <phoneticPr fontId="0" type="noConversion"/>
  </si>
  <si>
    <t>SCU1_0C8[7 :0] auto setting value
After SCU1_0C8 is loaded, the write protection SCU1_B04[18] will be set.</t>
    <phoneticPr fontId="0" type="noConversion"/>
  </si>
  <si>
    <t>40B</t>
  </si>
  <si>
    <t>OTPCFG11/SCUIO894</t>
  </si>
  <si>
    <t>en_auto_load_usr0</t>
  </si>
  <si>
    <t>Enable auto load OTP user0 ctrl setting to OTP register.
Once it's enabled, r/w protection, offset, and size of OTP user0 value below would be loaded into OTP control registers as a hardware default value.</t>
    <phoneticPr fontId="0" type="noConversion"/>
  </si>
  <si>
    <t>rd_protect_otp_usr0</t>
  </si>
  <si>
    <t>Enable Read protect for OTP region user 0</t>
    <phoneticPr fontId="1" type="noConversion"/>
  </si>
  <si>
    <t>wr_protect_otp_usr0</t>
  </si>
  <si>
    <t>Enable Write protect for OTP region user 0</t>
    <phoneticPr fontId="1" type="noConversion"/>
  </si>
  <si>
    <t>usr0_region_start_offset</t>
  </si>
  <si>
    <t>User 0 region start offset (unit: word)</t>
    <phoneticPr fontId="1" type="noConversion"/>
  </si>
  <si>
    <t>40C</t>
  </si>
  <si>
    <t>OTPCFG12/SCUIO898</t>
  </si>
  <si>
    <t>usr0_region_size</t>
  </si>
  <si>
    <t>User 0 region size (unit: word)</t>
    <phoneticPr fontId="1" type="noConversion"/>
  </si>
  <si>
    <t>40D</t>
  </si>
  <si>
    <t>OTPCFG13/SCUIO898</t>
  </si>
  <si>
    <t>en_auto_load_secure0</t>
  </si>
  <si>
    <t>Enable auto load OTP secure0 ctrl setting to OTP register.
Once it's enabled, r/w protection, offset, and size of OTP secure0 value below would be loaded into OTP controller registers as a hardware default value.</t>
    <phoneticPr fontId="0"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</si>
  <si>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</si>
  <si>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</si>
  <si>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</si>
  <si>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</si>
  <si>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</si>
  <si>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</si>
  <si>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40E</t>
  </si>
  <si>
    <t>OTPCFG14/SCUIO89C</t>
  </si>
  <si>
    <t>secure0_region_size</t>
  </si>
  <si>
    <t>Secure 0 region size (unit: word)</t>
    <phoneticPr fontId="1" type="noConversion"/>
  </si>
  <si>
    <t>40F</t>
  </si>
  <si>
    <t>OTPCFG15/SCUIO89C</t>
  </si>
  <si>
    <t>i3c_i2c_identify</t>
  </si>
  <si>
    <t>i3c: DCR
i2c: Slave address</t>
    <phoneticPr fontId="0" type="noConversion"/>
  </si>
  <si>
    <t>i3c: DCR</t>
  </si>
  <si>
    <t>i3c_hj_req</t>
  </si>
  <si>
    <t>i3c hot-join request enable</t>
    <phoneticPr fontId="0" type="noConversion"/>
  </si>
  <si>
    <t>i2c: Slave Address</t>
  </si>
  <si>
    <t>i3c_i2c_channel</t>
  </si>
  <si>
    <t>i3c/i2c channel used for recovery</t>
    <phoneticPr fontId="0" type="noConversion"/>
  </si>
  <si>
    <t>410</t>
  </si>
  <si>
    <t>OTPCFG16/SCUIO8A0</t>
  </si>
  <si>
    <t>411</t>
  </si>
  <si>
    <t>OTPCFG17/SCUIO8A0</t>
  </si>
  <si>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</si>
  <si>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</si>
  <si>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</si>
  <si>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Enable to turn off UART5 Tx Discard</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</si>
  <si>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</si>
  <si>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</si>
  <si>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</si>
  <si>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Enable to turn off UART3 Tx Discard</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</si>
  <si>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</si>
  <si>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</si>
  <si>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</si>
  <si>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Enable to turn off UART2 Tx Discard</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</si>
  <si>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</si>
  <si>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</si>
  <si>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</si>
  <si>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Enable to turn off UART1 Tx Discard</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</si>
  <si>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</si>
  <si>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</si>
  <si>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</si>
  <si>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Enable to turn off UART0 Tx Discard</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</si>
  <si>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</si>
  <si>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</si>
  <si>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412</t>
  </si>
  <si>
    <t>OTPCFG18/SCUIO8A4</t>
  </si>
  <si>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</si>
  <si>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</si>
  <si>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</si>
  <si>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Enable to turn off UART10 Tx Discard</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</si>
  <si>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</si>
  <si>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</si>
  <si>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</si>
  <si>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Enable to turn off UART9 Tx Discard</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</si>
  <si>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</si>
  <si>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</si>
  <si>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</si>
  <si>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Enable to turn off UART8 Tx Discard</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</si>
  <si>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</si>
  <si>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</si>
  <si>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</si>
  <si>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Enable to turn off UART7 Tx Discard</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</si>
  <si>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</si>
  <si>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</si>
  <si>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</si>
  <si>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Enable to turn off UART6 Tx Discard</t>
    <phoneticPr fontId="1" type="noConversion"/>
  </si>
  <si>
    <t>usb_uart6_mode_msb</t>
    <phoneticPr fontId="1" type="noConversion"/>
  </si>
  <si>
    <t>UART6 Mode - msb (bit1)</t>
    <phoneticPr fontId="1" type="noConversion"/>
  </si>
  <si>
    <t>413</t>
  </si>
  <si>
    <t>OTPCFG19/SCUIO8A4</t>
    <phoneticPr fontId="1" type="noConversion"/>
  </si>
  <si>
    <t>uart_io_route</t>
  </si>
  <si>
    <t>uart11/13/14 routing (hw effect by scu)</t>
  </si>
  <si>
    <t>usb_uart_put_all_boot_message</t>
    <phoneticPr fontId="1" type="noConversion"/>
  </si>
  <si>
    <t>Enable UART to put all boot message and wait the completetion</t>
    <phoneticPr fontId="1" type="noConversion"/>
  </si>
  <si>
    <t>usb_uart_mode3</t>
    <phoneticPr fontId="1" type="noConversion"/>
  </si>
  <si>
    <t>Enable Mode-3 (USB2UART only, no vHub)</t>
    <phoneticPr fontId="1" type="noConversion"/>
  </si>
  <si>
    <t>usb_uart_hub_23ports</t>
    <phoneticPr fontId="1" type="noConversion"/>
  </si>
  <si>
    <t>Enable Mode-0 hub to support 23 ports</t>
    <phoneticPr fontId="1" type="noConversion"/>
  </si>
  <si>
    <t>usb_uart15_tx_discard_off</t>
    <phoneticPr fontId="1" type="noConversion"/>
  </si>
  <si>
    <t>Enable to turn off UART15 Tx Discard</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</si>
  <si>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</si>
  <si>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</si>
  <si>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</si>
  <si>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Enable to turn off UART12 Tx Discard</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</si>
  <si>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</si>
  <si>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</si>
  <si>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</si>
  <si>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Enable to turn off UART11 Tx Discard</t>
    <phoneticPr fontId="1" type="noConversion"/>
  </si>
  <si>
    <t>414</t>
  </si>
  <si>
    <t>OTPCFG20/SCUIO8A8</t>
  </si>
  <si>
    <t>en_auto_load_cptra0</t>
  </si>
  <si>
    <t>Enable auto load OTP cptra0 ctrl setting to OTP register.
Once it's enabled, r/w protection, offset, and size of OTP cptra0 value below would be loaded into OTP controller registers as a hardware default value.</t>
    <phoneticPr fontId="0" type="noConversion"/>
  </si>
  <si>
    <t>the cptra range 1/2/3 should be set also by FW</t>
  </si>
  <si>
    <t>rd_protect_otp_cptra0</t>
  </si>
  <si>
    <t>Enable Read protect for OTP region cptra 0</t>
  </si>
  <si>
    <t>wr_protect_otp_cptra0</t>
  </si>
  <si>
    <t>Enable Write protect for OTP region cptra 0</t>
  </si>
  <si>
    <t>cptra0_region_start_offset</t>
  </si>
  <si>
    <t>cptra 0 region start offset</t>
  </si>
  <si>
    <t>415</t>
  </si>
  <si>
    <t>OTPCFG21/SCUIO8A8</t>
  </si>
  <si>
    <t>cptra0_region_size</t>
  </si>
  <si>
    <t>cptra 0 region size</t>
  </si>
  <si>
    <t>416</t>
  </si>
  <si>
    <t>OTPCFG22/SCUIO8AC</t>
  </si>
  <si>
    <t>HPM_LTPI0 DDR mode disable</t>
  </si>
  <si>
    <t>Set 1 to disable HPM_LTPI0 DDR mode</t>
  </si>
  <si>
    <t>HPM_LTPI0 speed capability disabling</t>
  </si>
  <si>
    <t>bit[14:13] - LTPI spec. Reserved
bit[12] - 500M
bit[11] - 1G
bit[10] - 800M
bit[9] - 600M
bit[8] - 400M
bit[7] - 300M
bit[6] - 250M
bit[5] - 200M
bit[4] - 150M
bit[3] - 100M
bit[2] - 75M
bit[1] - 50M
bit[0] - 25M</t>
  </si>
  <si>
    <t>Set bits to disable the corresponding speed support</t>
  </si>
  <si>
    <t>417</t>
  </si>
  <si>
    <t>OTPCFG23/SCUIO8AC</t>
  </si>
  <si>
    <t>LTPI0 check RX LINK_SPEED enable</t>
  </si>
  <si>
    <t>0=Don't check LINK_SPEED before AD (follow the LTPI spec.)
1=Assert RX 1 LINK_SPEED framee before AD (AST2700A0)</t>
  </si>
  <si>
    <t>LTPI0 PHY clock inverse</t>
    <phoneticPr fontId="1" type="noConversion"/>
  </si>
  <si>
    <t>bit[1] - RX clock inverse
bit[0] - TX clock inverse</t>
  </si>
  <si>
    <t>LTPI Runtime firmware enable</t>
    <phoneticPr fontId="1" type="noConversion"/>
  </si>
  <si>
    <t>Set 1 to enable AST1700 runtime firmware
(The firmware is downloaded through the LTPI OEM)</t>
    <phoneticPr fontId="1" type="noConversion"/>
  </si>
  <si>
    <t>LTPI CRC format</t>
  </si>
  <si>
    <t>LTPI0 &amp; LTPI1 CRC format
0=CRC format 0
1=CRC format 1</t>
  </si>
  <si>
    <t>418</t>
  </si>
  <si>
    <t>OTPCFG24/SCUIO8B0</t>
  </si>
  <si>
    <t>OTP Patch Code location 3</t>
  </si>
  <si>
    <t>otp_patch_vld 3</t>
  </si>
  <si>
    <t>Enable otp patch 3
0: otp rom patch 3 is invalid
1: otp rom patch 3 is valid</t>
  </si>
  <si>
    <t>419</t>
  </si>
  <si>
    <t>OTPCFG25/SCUIO8B0</t>
  </si>
  <si>
    <t>OTP Patch Size 3</t>
  </si>
  <si>
    <t>OTP Patch 3 code size (unit: word)
The Boot ROM can execute OTP patch codes in OTPROM region. The OTP patch code size is limited to 16Kbit.</t>
  </si>
  <si>
    <t>41A</t>
  </si>
  <si>
    <t>OTPCFG26/SCUIO8B4</t>
  </si>
  <si>
    <t>OTP Patch Code location 4</t>
  </si>
  <si>
    <t>otp_patch_vld 4</t>
  </si>
  <si>
    <t>Enable otp patch 4
0: otp rom patch 4 is invalid
1: otp rom patch 4 is valid</t>
  </si>
  <si>
    <t>41B</t>
  </si>
  <si>
    <t>OTPCFG27/SCUIO8B4</t>
  </si>
  <si>
    <t>OTP Patch Size 4</t>
  </si>
  <si>
    <t>OTP Patch 4 code size (unit: word)
The Boot ROM can execute OTP patch codes in OTPROM region. The OTP patch code size is limited to 16Kbit.</t>
  </si>
  <si>
    <t>41C</t>
  </si>
  <si>
    <t>OTPCFG28/SCUIO8B8</t>
  </si>
  <si>
    <t>OTP Patch Code location 5</t>
  </si>
  <si>
    <t>otp_patch_vld 5</t>
  </si>
  <si>
    <t>Enable otp patch 5
0: otp rom patch 5 is invalid
1: otp rom patch 5 is valid</t>
  </si>
  <si>
    <t>41D</t>
  </si>
  <si>
    <t>OTPCFG29/SCUIO8B8</t>
  </si>
  <si>
    <t>OTP Patch Size 5</t>
  </si>
  <si>
    <t>OTP Patch 5 code size (unit: word)
The Boot ROM can execute OTP patch codes in OTPROM region. The OTP patch code size is limited to 16Kbit.</t>
  </si>
  <si>
    <t>41E</t>
  </si>
  <si>
    <t>OTPCFG30/SCUIO8BC</t>
  </si>
  <si>
    <t>41F</t>
  </si>
  <si>
    <t>OTPCFG31/SCUIO8BC</t>
  </si>
  <si>
    <t>OTPSTRAP00</t>
  </si>
  <si>
    <t>otp_strap_wr_protect_lsb</t>
  </si>
  <si>
    <t>per bit lock</t>
    <phoneticPr fontId="1" type="noConversion"/>
  </si>
  <si>
    <t>OTPSTRAP01</t>
  </si>
  <si>
    <t>otp_strap_wr_protect_msb</t>
  </si>
  <si>
    <t>OTPSTRAP[0:15] = SCU0 (otpstrap opt0_lsb ^ otpstrap opt1_lsb ^ otpstrap opt2_lsb ^ otpstrap opt_lsb3 ^ otpstrap opt4_lsb ^ otpstrap opt5_lsb)</t>
    <phoneticPr fontId="1" type="noConversion"/>
  </si>
  <si>
    <t>OTPSTRAP[16:31] = SCU1 (otpstrap opt0_msb ^ otpstrap opt1_msb ^ otpstrap opt2_msb ^ otpstrap opt3_msb ^ otpstrap opt4_msb ^ otpstrap opt5_msb)</t>
    <phoneticPr fontId="1" type="noConversion"/>
  </si>
  <si>
    <t>OTPSTRAP02</t>
  </si>
  <si>
    <t>otpstrap opt0_lsb</t>
  </si>
  <si>
    <t>OTPSTRAP03</t>
  </si>
  <si>
    <t>otpstrap opt0_msb</t>
  </si>
  <si>
    <t>OTPSTRAP04</t>
  </si>
  <si>
    <t>otpstrap opt1_lsb</t>
  </si>
  <si>
    <t>OTPSTRAP05</t>
  </si>
  <si>
    <t>otpstrap opt1_msb</t>
  </si>
  <si>
    <t>OTPSTRAP06</t>
  </si>
  <si>
    <t>otpstrap opt2_lsb</t>
  </si>
  <si>
    <t>OTPSTRAP07</t>
  </si>
  <si>
    <t>otpstrap opt2_msb</t>
  </si>
  <si>
    <t>OTPSTRAP08</t>
  </si>
  <si>
    <t>otpstrap opt3_lsb</t>
  </si>
  <si>
    <t>OTPSTRAP09</t>
  </si>
  <si>
    <t>otpstrap opt3_msb</t>
  </si>
  <si>
    <t>42A</t>
  </si>
  <si>
    <t>OTPSTRAP10</t>
  </si>
  <si>
    <t>otpstrap opt4_lsb</t>
  </si>
  <si>
    <t>42B</t>
  </si>
  <si>
    <t>OTPSTRAP11</t>
  </si>
  <si>
    <t>otpstrap opt4_msb</t>
  </si>
  <si>
    <t>42C</t>
  </si>
  <si>
    <t>OTPSTRAP12</t>
  </si>
  <si>
    <t>otpstrap opt5_lsb</t>
  </si>
  <si>
    <t>42D</t>
  </si>
  <si>
    <t>OTPSTRAP13</t>
  </si>
  <si>
    <t>otpstrap opt5_msb</t>
  </si>
  <si>
    <t>42E</t>
  </si>
  <si>
    <t>OTPSTRAP14</t>
  </si>
  <si>
    <t>otp_eccbrp_en</t>
  </si>
  <si>
    <t>bit0: enable ecc/brp (except otpstrap/otprbp)</t>
    <phoneticPr fontId="1" type="noConversion"/>
  </si>
  <si>
    <t>42F</t>
  </si>
  <si>
    <t>OTPSTRAP15</t>
  </si>
  <si>
    <t>reserved</t>
  </si>
  <si>
    <t>SCU0</t>
    <phoneticPr fontId="1" type="noConversion"/>
  </si>
  <si>
    <t>Width </t>
  </si>
  <si>
    <t>Name </t>
  </si>
  <si>
    <t>Description </t>
  </si>
  <si>
    <t>Details</t>
    <phoneticPr fontId="1" type="noConversion"/>
  </si>
  <si>
    <t>AST2700 SCU</t>
  </si>
  <si>
    <t>OTP</t>
  </si>
  <si>
    <t>Notes</t>
  </si>
  <si>
    <t>BootSPI</t>
  </si>
  <si>
    <t>Boot from CPU die SPI</t>
  </si>
  <si>
    <t>0: Boot from IO die SPI
1: Boot from CPU die SPI</t>
  </si>
  <si>
    <t>SCU0_010[1]</t>
  </si>
  <si>
    <t>OTPSTRAP[1]</t>
  </si>
  <si>
    <t>AST27x0 has two die, one is IO-die, the other is CPU-die.
In case of there has some errors between die to die connection, this field is a backup solution to boot from CPU-die.</t>
    <phoneticPr fontId="0" type="noConversion"/>
  </si>
  <si>
    <t>HPLLFreq</t>
  </si>
  <si>
    <t>HPLL default frequency</t>
  </si>
  <si>
    <t>00: 2.0GHz, 01: 1.9GHz, 10: 1.8GHz, 11: 1.7GHz</t>
  </si>
  <si>
    <t>SCU0_010[3:2]</t>
  </si>
  <si>
    <t>OTPSTRAP[3:2]</t>
  </si>
  <si>
    <t>Reserved for design flexibility, no use case for now.</t>
    <phoneticPr fontId="0" type="noConversion"/>
  </si>
  <si>
    <t>CPUHPLL</t>
  </si>
  <si>
    <t>CPU clock PLL</t>
  </si>
  <si>
    <t>0: MPLL, 1: HPLL</t>
  </si>
  <si>
    <t>SCU0_010[4]</t>
  </si>
  <si>
    <t>OTPSTRAP[4]</t>
  </si>
  <si>
    <t>HCLKSel</t>
  </si>
  <si>
    <t>AXI/AHB clock selection</t>
  </si>
  <si>
    <t>0x: 400MHz, 10: 266MHz, 11: 200MHz when HCLKPLL=0
0x: 500MHz, 10: 333MHz, 11: 250MHz when HCLKPLL=1</t>
  </si>
  <si>
    <t>SCU0_010[6:5]</t>
  </si>
  <si>
    <t>OTPSTRAP[6:5]</t>
  </si>
  <si>
    <t>HCLKHPLL</t>
  </si>
  <si>
    <t>AXI/AHB clock PLL</t>
  </si>
  <si>
    <t>SCU0_010[7]</t>
  </si>
  <si>
    <t>OTPSTRAP[7]</t>
  </si>
  <si>
    <t>DisDebug</t>
  </si>
  <si>
    <t>Disable Debug Interfaces for CPU die</t>
  </si>
  <si>
    <t>all debug interface SCU0C8</t>
  </si>
  <si>
    <t>SCU0_010[8]</t>
  </si>
  <si>
    <t>OTPSTRAP[8]</t>
  </si>
  <si>
    <t>Disable all debug interfaces in SCU0_0C8 for security.</t>
  </si>
  <si>
    <t>TSPRsntSel</t>
    <phoneticPr fontId="1" type="noConversion"/>
  </si>
  <si>
    <t>TSP reset pin selection</t>
  </si>
  <si>
    <t>0: SSPRSTN, 1: GPIO18E0</t>
  </si>
  <si>
    <t>SCU0_010[9]</t>
  </si>
  <si>
    <t>OTPSTRAP[9]</t>
  </si>
  <si>
    <t>TSP reset can be separated from the SSP reset pin.</t>
    <phoneticPr fontId="0" type="noConversion"/>
  </si>
  <si>
    <t>VGALinearSize[0]</t>
  </si>
  <si>
    <t>VGA linear memory size</t>
  </si>
  <si>
    <t>SW-ROM write to DRAMC100[0]</t>
  </si>
  <si>
    <t>SCU0_010[10]</t>
  </si>
  <si>
    <t>OTPSTRAP[10]</t>
  </si>
  <si>
    <t>Configuration for VGA memory size.</t>
    <phoneticPr fontId="0" type="noConversion"/>
  </si>
  <si>
    <t>VGALinearSize[1]</t>
  </si>
  <si>
    <t>SCU0_010[11]</t>
  </si>
  <si>
    <t>OTPSTRAP[11]</t>
  </si>
  <si>
    <t>DisSSP</t>
  </si>
  <si>
    <t>Disable SSP running</t>
  </si>
  <si>
    <t>0: disable 1: enable</t>
  </si>
  <si>
    <t>SCU0_010[12]</t>
  </si>
  <si>
    <t>OTPSTRAP[12]</t>
  </si>
  <si>
    <t>DisTSP</t>
  </si>
  <si>
    <t>Disable TSP running</t>
  </si>
  <si>
    <t>SCU0_010[13]</t>
  </si>
  <si>
    <t>OTPSTRAP[13]</t>
  </si>
  <si>
    <t>SCU0_010[14]</t>
  </si>
  <si>
    <t>OTPSTRAP[14]</t>
  </si>
  <si>
    <t>SCU0_010[15]</t>
  </si>
  <si>
    <t>OTPSTRAP[15]</t>
  </si>
  <si>
    <t>SCU1</t>
    <phoneticPr fontId="1" type="noConversion"/>
  </si>
  <si>
    <t>OTPStrap</t>
  </si>
  <si>
    <t>En_SecBoot</t>
  </si>
  <si>
    <t>Enable Secure Boot</t>
  </si>
  <si>
    <t>SCU1_010[5]</t>
  </si>
  <si>
    <t>OTPSTRAP[16]</t>
  </si>
  <si>
    <t>Enable secure boot for production, but allow it to be disabled for debugging.</t>
  </si>
  <si>
    <t>DisDebug1</t>
  </si>
  <si>
    <t>Disable Debug Interfaces for IO die</t>
  </si>
  <si>
    <t>all debug interface SCUIO0C8</t>
  </si>
  <si>
    <t>SCU1_010[16]</t>
  </si>
  <si>
    <t>OTPSTRAP[17]</t>
  </si>
  <si>
    <t>Disable all debug interfaces in SCU1_0C8 for security.</t>
  </si>
  <si>
    <t>Dis_WDTfull</t>
  </si>
  <si>
    <t>Disable WDT reset full</t>
  </si>
  <si>
    <t>SCU1_010[17]</t>
  </si>
  <si>
    <t>OTPSTRAP[18]</t>
  </si>
  <si>
    <t>WDT full chip reset function can reset full chip. This field can disable full chip, WDT0C[6:5] = 2b'01, reset function permanently to prevent malicious attack.
Note: This bit must be set together with OTPSTRAP_EXT[25].</t>
  </si>
  <si>
    <t>Dis_UartDbg</t>
  </si>
  <si>
    <t>Disable Uart Debug</t>
  </si>
  <si>
    <t>Disable Uart Debug</t>
    <phoneticPr fontId="1" type="noConversion"/>
  </si>
  <si>
    <t>SCU1_010[18]</t>
  </si>
  <si>
    <t>OTPSTRAP[19]</t>
  </si>
  <si>
    <t>Disable UART debug controller interface mentioned in chapter 9 of AST2700 datasheet.</t>
  </si>
  <si>
    <t>UartDbgSel</t>
  </si>
  <si>
    <t>Selection of IO for Uart Debug</t>
  </si>
  <si>
    <t>0: IO12 1: IO0</t>
  </si>
  <si>
    <t>SCU1_010[19]</t>
  </si>
  <si>
    <t>OTPSTRAP[20]</t>
  </si>
  <si>
    <t>Uart debug IO pin selection.</t>
    <phoneticPr fontId="0" type="noConversion"/>
  </si>
  <si>
    <t>Dis_CptraJTag</t>
  </si>
  <si>
    <t>Disable JTAG of Caliptra permanently</t>
  </si>
  <si>
    <t>SCU1_010[20]</t>
  </si>
  <si>
    <t>OTPSTRAP[21]</t>
  </si>
  <si>
    <t>This bit is used to disable Caliptra JTAG permanently.</t>
  </si>
  <si>
    <t>En_ROM_Intr</t>
  </si>
  <si>
    <t>Enable ROM interrupt</t>
  </si>
  <si>
    <t>SCU1_010[21]</t>
  </si>
  <si>
    <t>OTPSTRAP[22]</t>
  </si>
  <si>
    <t>Boot ROM has an option to enable interrupts for backup solution.</t>
  </si>
  <si>
    <t>Dis_ROM</t>
  </si>
  <si>
    <t>Disable BootMCU ROM &amp; jump to I_FMC</t>
  </si>
  <si>
    <t>(wlock)</t>
    <phoneticPr fontId="1" type="noConversion"/>
  </si>
  <si>
    <t>SCU1_010[22]</t>
  </si>
  <si>
    <t>OTPSTRAP[23]</t>
  </si>
  <si>
    <t>This bit must be kept cleared (0) and write-locked after the MP stage, as it is used to bypass the BootMCU ROM code.
Enabling this bit may result in unexpected or unsafe boot behavior and is therefore not recommended for normal operation.</t>
  </si>
  <si>
    <t>eMMC_UFS_Boot</t>
  </si>
  <si>
    <t>Boot from eMMC or UFS selection</t>
  </si>
  <si>
    <t>0: eMMC 1: UFS</t>
  </si>
  <si>
    <t>SCU1_010[23]</t>
  </si>
  <si>
    <t>OTPSTRAP[24]</t>
  </si>
  <si>
    <t>When booting from eMMC or UFS is selected via an external pin strap, this bit is used to select the BMC boot source between eMMC and UFS.</t>
  </si>
  <si>
    <t>SPI_Flash_Wait_Ready</t>
  </si>
  <si>
    <t>Allow BROM to wait SPI flash ready bit</t>
  </si>
  <si>
    <t>SCU1_010[24]</t>
  </si>
  <si>
    <t>OTPSTRAP[25]</t>
  </si>
  <si>
    <t>When this bit is enabled, the BMC checks the ready/busy status of the FWSPI flash before reading the boot image, to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</si>
  <si>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SPI_Flash_4_Byte_Mode</t>
  </si>
  <si>
    <t>Use 4-byte command to read flash</t>
  </si>
  <si>
    <t>SCU1_010[25]</t>
  </si>
  <si>
    <t>OTPSTRAP[26]</t>
  </si>
  <si>
    <t>SPI_Flash_4_Byte_Mode is used to prevent address mode mismatch between the BMC and the SPI flash.
After a full chip reset or when the SRST# pin is not connected to the SPI flash, the BMC always resets to 3-byte address mode, while the SPI flash may remain in 4-byte address mode. This mismatch can cause SPI access failures and lead to boot-up issues. When this OTP bit is enabled, the BMC will use dedicated 4-byte address SPI instructions, 13h, to read the flash. These instructions can correctly read flash data regardless of the current address mode of the flash, ensuring reliable boot behavior.</t>
  </si>
  <si>
    <t>Recovery_mode_selection</t>
  </si>
  <si>
    <t>Recovery from Uart or USB selection</t>
  </si>
  <si>
    <t>0: Uart. 1: USB 2: I2C 3: I3C</t>
  </si>
  <si>
    <t>SCU1_010[27:26]</t>
  </si>
  <si>
    <t>OTPSTRAP[28:27]</t>
  </si>
  <si>
    <t>When recovery mode is enabled, the default recovery interface is UART. This field allows users to select different recovery interface.</t>
    <phoneticPr fontId="0" type="noConversion"/>
  </si>
  <si>
    <t>RecUSBSel</t>
  </si>
  <si>
    <t>Boot from USB port selection</t>
  </si>
  <si>
    <t>0/1/2/3: Boot from USB port A/B/C/D</t>
  </si>
  <si>
    <t>SCU1_010[29:28]</t>
  </si>
  <si>
    <t>OTPSTRAP[30:29]</t>
  </si>
  <si>
    <t>If recovery mode selects USB (SCU1_010[27:26]), the USB port selection can be selected.</t>
    <phoneticPr fontId="0" type="noConversion"/>
  </si>
  <si>
    <t>Dis_Cptra</t>
    <phoneticPr fontId="1" type="noConversion"/>
  </si>
  <si>
    <t>Disable Caliptra booting</t>
  </si>
  <si>
    <t>0: enable 1: disable</t>
    <phoneticPr fontId="1" type="noConversion"/>
  </si>
  <si>
    <t>SCU1_010[30]</t>
  </si>
  <si>
    <t>OTPSTRAP[31]</t>
  </si>
  <si>
    <t>This is an option if customer don't need Caliptra in AST27x0.</t>
  </si>
  <si>
    <t>430</t>
  </si>
  <si>
    <t>otpstrap_ext_0 value</t>
    <phoneticPr fontId="1" type="noConversion"/>
  </si>
  <si>
    <t>otp trap extension src0</t>
  </si>
  <si>
    <t>431</t>
  </si>
  <si>
    <t>otpstrap_ext_1 value</t>
  </si>
  <si>
    <t>otp trap extension src1</t>
  </si>
  <si>
    <t>432</t>
  </si>
  <si>
    <t>otpstrap_ext_2 value</t>
  </si>
  <si>
    <t>otp trap extension src2</t>
  </si>
  <si>
    <t>433</t>
  </si>
  <si>
    <t>otpstrap_ext_3 value</t>
  </si>
  <si>
    <t>otp trap extension src3</t>
  </si>
  <si>
    <t>434</t>
  </si>
  <si>
    <t>otpstrap_ext_4 value</t>
  </si>
  <si>
    <t>otp trap extension src4</t>
  </si>
  <si>
    <t>435</t>
  </si>
  <si>
    <t>otpstrap_ext_5 value</t>
  </si>
  <si>
    <t>otp trap extension src5</t>
  </si>
  <si>
    <t>436</t>
  </si>
  <si>
    <t>otpstrap_ext_6 value</t>
  </si>
  <si>
    <t>otp trap extension src6</t>
  </si>
  <si>
    <t>437</t>
  </si>
  <si>
    <t>otpstrap_ext_7 value</t>
  </si>
  <si>
    <t>otp trap extension src7</t>
  </si>
  <si>
    <t>438</t>
  </si>
  <si>
    <t>otpstrap_ext_0 valid</t>
    <phoneticPr fontId="1" type="noConversion"/>
  </si>
  <si>
    <t>otp trap extension src0 vld</t>
  </si>
  <si>
    <t>set 1: trap result always sel from otp trap ext src0</t>
    <phoneticPr fontId="1" type="noConversion"/>
  </si>
  <si>
    <t>439</t>
  </si>
  <si>
    <t>otpstrap_ext_1 valid</t>
  </si>
  <si>
    <t>otp trap extension src1 vld</t>
  </si>
  <si>
    <t>set 1: trap result always sel from otp trap ext src1</t>
  </si>
  <si>
    <t>43a</t>
  </si>
  <si>
    <t>otpstrap_ext_2 valid</t>
  </si>
  <si>
    <t>otp trap extension src2 vld</t>
  </si>
  <si>
    <t>set 1: trap result always sel from otp trap ext src2</t>
  </si>
  <si>
    <t>43b</t>
  </si>
  <si>
    <t>otpstrap_ext_3 valid</t>
  </si>
  <si>
    <t>otp trap extension src3 vld</t>
  </si>
  <si>
    <t>set 1: trap result always sel from otp trap ext src3</t>
  </si>
  <si>
    <t>43c</t>
  </si>
  <si>
    <t>otpstrap_ext_4 valid</t>
  </si>
  <si>
    <t>otp trap extension src4 vld</t>
  </si>
  <si>
    <t>set 1: trap result always sel from otp trap ext src4</t>
  </si>
  <si>
    <t>43d</t>
  </si>
  <si>
    <t>otpstrap_ext_5 valid</t>
  </si>
  <si>
    <t>otp trap extension src5 vld</t>
  </si>
  <si>
    <t>set 1: trap result always sel from otp trap ext src5</t>
  </si>
  <si>
    <t>43e</t>
  </si>
  <si>
    <t>otpstrap_ext_6 valid</t>
  </si>
  <si>
    <t>otp trap extension src6 vld</t>
  </si>
  <si>
    <t>set 1: trap result always sel from otp trap ext src6</t>
  </si>
  <si>
    <t>43f</t>
  </si>
  <si>
    <t>otpstrap_ext_7 valid</t>
  </si>
  <si>
    <t>otp trap extension src7 vld</t>
  </si>
  <si>
    <t>set 1: trap result always sel from otp trap ext src7</t>
  </si>
  <si>
    <t>DisARMICE</t>
  </si>
  <si>
    <t>Disable ARM ICE</t>
  </si>
  <si>
    <t>Disable ARM ICE invasive debug</t>
  </si>
  <si>
    <t>SCU0_010[16]</t>
  </si>
  <si>
    <t>OTPSTRAP_EXT[16]</t>
  </si>
  <si>
    <t>Disable CA35 JTAG function permanently.</t>
  </si>
  <si>
    <t>SCU0_010[17]</t>
  </si>
  <si>
    <t>OTPSTRAP_EXT[17]</t>
  </si>
  <si>
    <t>VGA_CC</t>
  </si>
  <si>
    <t>VGA0/1 Class Code</t>
  </si>
  <si>
    <t>0: Class Code of VGA device
1: Class code for video device</t>
  </si>
  <si>
    <t>SCU0_010[18]</t>
  </si>
  <si>
    <t>OTPSTRAP_EXT[18]</t>
  </si>
  <si>
    <t>ufs_clk_sel</t>
  </si>
  <si>
    <t>UFS reference clock selection</t>
  </si>
  <si>
    <t>0: Internal clk
1: External clk (OSC)</t>
  </si>
  <si>
    <t>SCU0_010[19]</t>
  </si>
  <si>
    <t>OTPSTRAP_EXT[19]</t>
  </si>
  <si>
    <t>The optional bit is reserved for an external UFS oscillator as an alternative solution. This oscillator is a 1.2 V, 26 MHz source that provides input to both the MPHY reference clock and the UFS device simultaneously. Under normal conditions, we use an internal clock source for the MPHY. However, in case high-temperature conditions cause the PLL to become unstable, we have several fallback options for the MPHY reference clock.</t>
  </si>
  <si>
    <t>BooteMMCSpeed</t>
  </si>
  <si>
    <t>eMMC Boot Speed</t>
  </si>
  <si>
    <t>0: low speed(25Mhz) 1: 50Mhz</t>
  </si>
  <si>
    <t>SCU0_010[20]</t>
  </si>
  <si>
    <t>OTPSTRAP_EXT[20]</t>
  </si>
  <si>
    <t>Disable_XHCI</t>
  </si>
  <si>
    <t>Disable XHCI0/1</t>
  </si>
  <si>
    <t>SCU0_010[21]</t>
  </si>
  <si>
    <t>OTPSTRAP_EXT[21]</t>
  </si>
  <si>
    <t>DisARMICE_TZ</t>
  </si>
  <si>
    <t>Disable ARM ICE in Trust World</t>
  </si>
  <si>
    <t>Disable ICE in Trust World </t>
  </si>
  <si>
    <t>SCU0_010[22]</t>
  </si>
  <si>
    <t>OTPSTRAP_EXT[22]</t>
  </si>
  <si>
    <t>If users still want to debug in Normal world, but Secure world is not allowed for security. This is an option to disable it.</t>
  </si>
  <si>
    <t>SCU0_010[23]</t>
  </si>
  <si>
    <t>OTPSTRAP_EXT[23]</t>
  </si>
  <si>
    <t>SCU0_010[24]</t>
  </si>
  <si>
    <t>OTPSTRAP_EXT[24]</t>
  </si>
  <si>
    <t>SCU0_010[25]</t>
  </si>
  <si>
    <t>OTPSTRAP_EXT[25]</t>
  </si>
  <si>
    <t>WDT full chip reset function can reset full chip. This field can disable full chip, WDT0C[6:5] = 2b'01, reset function permanently to prevent malicious attack.
Note: This bit must be set together with OTPSTRAP[18].</t>
  </si>
  <si>
    <t>udbg_to_sel</t>
  </si>
  <si>
    <t>Uart Debug timeout selection</t>
  </si>
  <si>
    <t>default: unlimited
need to sync CPU-die reg</t>
  </si>
  <si>
    <t>SCU0_010[27:26]</t>
  </si>
  <si>
    <t>OTPSTRAP_EXT[27:26]</t>
  </si>
  <si>
    <t>Reserved for design flexibility, no use case for now.</t>
  </si>
  <si>
    <t>DAC_Src</t>
  </si>
  <si>
    <t>DAC's source selection</t>
  </si>
  <si>
    <t>0: PCIE VGA0
1: PCIE VGA1</t>
  </si>
  <si>
    <t>SCU0_010[28]</t>
  </si>
  <si>
    <t>OTPSTRAP_EXT[28]</t>
  </si>
  <si>
    <t>DP_Src</t>
  </si>
  <si>
    <t>DisplayPort's source selection</t>
  </si>
  <si>
    <t>SCU0_010[29]</t>
  </si>
  <si>
    <t>OTPSTRAP_EXT[29]</t>
    <phoneticPr fontId="1" type="noConversion"/>
  </si>
  <si>
    <t>Dis_RVAS</t>
  </si>
  <si>
    <t>Disable RVAS0/1</t>
  </si>
  <si>
    <t>SCU0_010[30]</t>
  </si>
  <si>
    <t>OTPSTRAP_EXT[30]</t>
  </si>
  <si>
    <t>SCU0_010[31]</t>
  </si>
  <si>
    <t>OTPSTRAP_EXT[31]</t>
  </si>
  <si>
    <t>N/A</t>
  </si>
  <si>
    <t>OTPSTRAP_EXT[96]</t>
  </si>
  <si>
    <t>OTPSTRAP_EXT[97]</t>
  </si>
  <si>
    <t>OTPSTRAP_EXT[98]</t>
  </si>
  <si>
    <t>OTPSTRAP_EXT[99]</t>
  </si>
  <si>
    <t>VRSize</t>
  </si>
  <si>
    <t>Node0 : Size of VGA RAM</t>
  </si>
  <si>
    <t>0: 32MB, 1:64MB (DRAMC100[0])</t>
  </si>
  <si>
    <t>OTPSTRAP_EXT[100]</t>
  </si>
  <si>
    <t>OTPSTRAP_EXT[101]</t>
  </si>
  <si>
    <t>OTPSTRAP_EXT[102]</t>
  </si>
  <si>
    <t>En_PCIeVGA0</t>
  </si>
  <si>
    <t>Enable PCIe VGA0</t>
  </si>
  <si>
    <t>SCU0_A70[0]</t>
  </si>
  <si>
    <t>OTPSTRAP_EXT[103]</t>
  </si>
  <si>
    <t>En_PCIeIPMI0</t>
  </si>
  <si>
    <t>Enable PCIe IPMI0</t>
  </si>
  <si>
    <t>SCU0_A70[1]</t>
  </si>
  <si>
    <t>OTPSTRAP_EXT[104]</t>
  </si>
  <si>
    <t>En_PCIeEHCI0</t>
  </si>
  <si>
    <t>Enable PCIe EHCI0</t>
  </si>
  <si>
    <t>SCU0_A70[2]</t>
  </si>
  <si>
    <t>OTPSTRAP_EXT[105]</t>
  </si>
  <si>
    <t>En_PCIeXHCI0</t>
  </si>
  <si>
    <t>Enable PCIe XHCI0</t>
  </si>
  <si>
    <t>SCU0_A70[3]</t>
  </si>
  <si>
    <t>OTPSTRAP_EXT[106]</t>
  </si>
  <si>
    <t>En_PCIeVGA1</t>
  </si>
  <si>
    <t>Enable PCIe VGA1</t>
  </si>
  <si>
    <t>SCU0_AF0[0]</t>
  </si>
  <si>
    <t>OTPSTRAP_EXT[107]</t>
  </si>
  <si>
    <t>En_PCIeIPMI1</t>
  </si>
  <si>
    <t>Enable PCIe IPMI1</t>
  </si>
  <si>
    <t>SCU0_AF0[1]</t>
  </si>
  <si>
    <t>OTPSTRAP_EXT[108]</t>
  </si>
  <si>
    <t>En_PCIeEHCI1</t>
  </si>
  <si>
    <t>Enable PCIe EHCI1</t>
  </si>
  <si>
    <t>SCU0_AF0[2]</t>
  </si>
  <si>
    <t>OTPSTRAP_EXT[109]</t>
  </si>
  <si>
    <t>En_PCIeXHCI1</t>
  </si>
  <si>
    <t>Enable PCIe XHCI1</t>
  </si>
  <si>
    <t>SCU0_AF0[3]</t>
  </si>
  <si>
    <t>OTPSTRAP_EXT[110]</t>
  </si>
  <si>
    <t>OTPSTRAP_EXT[127:111]</t>
  </si>
  <si>
    <t xml:space="preserve"> </t>
  </si>
  <si>
    <t>ABR</t>
  </si>
  <si>
    <t>boot storage ABR enable</t>
  </si>
  <si>
    <t>0: disable. 1: enable</t>
  </si>
  <si>
    <t>SCU1_030[0]</t>
  </si>
  <si>
    <t>OTPSTRAP_EXT[32]</t>
  </si>
  <si>
    <t>This bit is used to enabled ABR machenism.</t>
  </si>
  <si>
    <t>ROM_Clear_SRAM</t>
  </si>
  <si>
    <t>ROM clear SRAM</t>
  </si>
  <si>
    <t>Clear loaded image in SRAM when the loaded image is invalid.
0: disable
1: enable</t>
  </si>
  <si>
    <t>SCU1_030[1]</t>
  </si>
  <si>
    <t>OTPSTRAP_EXT[33]</t>
  </si>
  <si>
    <t>When this bit is set and a secure-related error is detected, the image previously loaded into SRAM will be cleared, preventing the execution of potentially invalid or compromised code.
Note: Enabling this bit may affect the problem debug process, as the original failure context or error location in SRAM may be cleared and no longer observable.</t>
  </si>
  <si>
    <t>SCU1_030[6:2]</t>
  </si>
  <si>
    <t>OTPSTRAP_EXT[38:34]</t>
  </si>
  <si>
    <t>SCU1_030[8:7]</t>
  </si>
  <si>
    <t>OTPSTRAP_EXT[40:39]</t>
  </si>
  <si>
    <t>SCU1_030[10:9]</t>
  </si>
  <si>
    <t>OTPSTRAP_EXT[42:41]</t>
  </si>
  <si>
    <t>En_Cptra_debug</t>
  </si>
  <si>
    <t>Enable Caliptra debug state</t>
  </si>
  <si>
    <t>0: disable
1: enable</t>
  </si>
  <si>
    <t>SCU1_030[11]</t>
  </si>
  <si>
    <t>OTPSTRAP_EXT[43]</t>
  </si>
  <si>
    <t>This is the source of Caliptra security state. It populates into Caliptra fuse map. See Caliptra spec for more details. (https://github.com/chipsalliance/Caliptra/blob/main/doc/caliptra_1x/Caliptra.md#caliptra-security-states)</t>
  </si>
  <si>
    <t>En_ROM_WDT</t>
  </si>
  <si>
    <t>Enable ROM WDT</t>
  </si>
  <si>
    <t>0: disable
1: Enable</t>
  </si>
  <si>
    <t>SCU1_030[12]</t>
  </si>
  <si>
    <t>OTPSTRAP_EXT[44]</t>
  </si>
  <si>
    <t>FWSPISize</t>
  </si>
  <si>
    <t>Size of FW SPI Flash</t>
  </si>
  <si>
    <t>7: 512MB. 6: 256MB. 5: 128MB. 4: 64MB. 3: 32MB. 2: 16MB. 1: 8MB. 0: disable</t>
  </si>
  <si>
    <t>SCU1_030[15:13]</t>
  </si>
  <si>
    <t>OTPSTRAP_EXT[47:45]</t>
  </si>
  <si>
    <t>When single-flash ABR mode is enabled, this field must be set to specify the FWSPI flash size. When a single-flash ABR event is triggered, the BMC will fetch the boot image from an offset equal to half of the flash size, based on the value configured in this field.</t>
  </si>
  <si>
    <t>En_FWSPIAux</t>
  </si>
  <si>
    <t>Enable FWSPI auxiliary pins</t>
  </si>
  <si>
    <t>FWSPIDQ2/FWSPIDQ3/FWSPIABR/FWSPIWP# </t>
  </si>
  <si>
    <t>SCU1_030[16]</t>
  </si>
  <si>
    <t>OTPSTRAP_EXT[48]</t>
  </si>
  <si>
    <t>When this bit is enabled, system can force BMC to boot from alternate flash part by controlling an external pin signal, pull high.</t>
  </si>
  <si>
    <t>SCU1_030[18:17]</t>
  </si>
  <si>
    <t>OTPSTRAP_EXT[50:49]</t>
  </si>
  <si>
    <t>SCU1_030[21:19]</t>
  </si>
  <si>
    <t>OTPSTRAP_EXT[53:51]</t>
  </si>
  <si>
    <t>SCU1_030[22]</t>
  </si>
  <si>
    <t>OTPSTRAP_EXT[54]</t>
  </si>
  <si>
    <t>Boot_SPI_Freq</t>
  </si>
  <si>
    <t>Boot SPI Frequency Selection</t>
  </si>
  <si>
    <t>2b'00: 12.5MHz (by default)
2b'01: 25MHz
2b'10: 40MHz
2b'11: 50MHz</t>
  </si>
  <si>
    <t>SCU1_030[24:23]</t>
  </si>
  <si>
    <t>OTPSTRAP_EXT[56:55]</t>
  </si>
  <si>
    <t>After power-on or reset, the FWSPI clock frequency defaults to 12.5 MHz for booting purposes. This field allows system developers to configure the FWSPI clock frequency used during the boot stage only and does not affect the FWSPI clock after the system has booted.</t>
  </si>
  <si>
    <t>Check_Flash_Access</t>
  </si>
  <si>
    <t>check flash is ready for accessing</t>
  </si>
  <si>
    <t>0: disable. 1: enable.</t>
  </si>
  <si>
    <t>SCU1_030[25]</t>
  </si>
  <si>
    <t>OTPSTRAP_EXT[57]</t>
  </si>
  <si>
    <t>When this bit is enabled, the BMC will verify the existence of the FWSPI flash before attempting to read the boot image. The BMC checks for flash presence by reading the SFDP (Serial Flash Discoverable Parameters) magic number, which is a standard identifier supported by common SPI NOR flash devices. If the flash device is not detected, the BMC will wait for up to 7 seconds before proceeding, allowing time for the flash to become available and avoiding premature boot failures.</t>
  </si>
  <si>
    <t>ABR_dis_B</t>
  </si>
  <si>
    <t>disable B if ABR enabled</t>
  </si>
  <si>
    <t>0: enable. 1: disable.</t>
  </si>
  <si>
    <t>SCU1_030[26]</t>
  </si>
  <si>
    <t>OTPSTRAP_EXT[58]</t>
  </si>
  <si>
    <t>ABR_RECOVERY_DIS</t>
  </si>
  <si>
    <t>disable recovery mode after ABR</t>
  </si>
  <si>
    <t>SCU1_030[27]</t>
  </si>
  <si>
    <t>OTPSTRAP_EXT[59]</t>
  </si>
  <si>
    <t>When ABR is enabled, by default on AST2700, if the BMC fails to boot from part A, it will attempt to boot from part B after WDTA timeout. If part B also fails to boot, the BMC will enter recovery mode after another WDTA timeout. The default boot sequence is: "Part A → Part B → Recovery". When ABR_RECOVERY_DIS is set, the recovery behavior is disabled, and the boot sequence becomes: "Part A → Part B → Part A → Part B → …"</t>
  </si>
  <si>
    <t>FMC_ABR_CS_SWAP_DIS</t>
  </si>
  <si>
    <t>Disable CS swap after dual flash ABR is triggerred</t>
  </si>
  <si>
    <t>SCU1_030[28]</t>
  </si>
  <si>
    <t>OTPSTRAP_EXT[60]</t>
  </si>
  <si>
    <t>This bit is not recommended to be enabled on AST2700 A1 and A2 and is provided only as a backup solution for the dual-flash ABR mechanism. By default, when the dual-flash ABR mechanism is triggered, the BMC hardware will automatically swap the address space of FWSPI CS0 and CS1 to select the backup flash. When this bit is set, the hardware will not perform the CS0/CS1 address space swap, and the dual-flash ABR mechanism relies on software handling instead.</t>
  </si>
  <si>
    <t>FMC_ABR_MODE</t>
  </si>
  <si>
    <t>FMC abr mode</t>
  </si>
  <si>
    <t>0: dual flash ABR, 1: single flash ABR.</t>
  </si>
  <si>
    <t>SCU1_030[29]</t>
  </si>
  <si>
    <t>OTPSTRAP_EXT[61]</t>
  </si>
  <si>
    <t>This bit is used to select the ABR operating mode.
- When dual-flash ABR mode is selected, this bit must be cleared.
- When single-flash ABR mode is selected, this bit must be set.</t>
  </si>
  <si>
    <t>SCU1_030[31:30]</t>
  </si>
  <si>
    <t>OTPSTRAP_EXT[63:62]</t>
  </si>
  <si>
    <t>SCU1_A00[2:0]</t>
  </si>
  <si>
    <t>OTPSTRAP_EXT[66:64]</t>
  </si>
  <si>
    <t>SCU1_A00[3]</t>
  </si>
  <si>
    <t>OTPSTRAP_EXT[67]</t>
  </si>
  <si>
    <t>SCU1_A00[5:4]</t>
  </si>
  <si>
    <t>OTPSTRAP_EXT[69:68]</t>
  </si>
  <si>
    <t>Node0_SIODecSel</t>
  </si>
  <si>
    <t>Selection of SIO decode address</t>
  </si>
  <si>
    <t>0: 0x2E. 1: 0x4E.</t>
  </si>
  <si>
    <t>SCU1_A00[6]</t>
  </si>
  <si>
    <t>OTPSTRAP_EXT[70]</t>
  </si>
  <si>
    <t>Node0_Dis_SIODec</t>
  </si>
  <si>
    <t>Disable SIO Decoding</t>
  </si>
  <si>
    <t>SCU1_A00[7]</t>
  </si>
  <si>
    <t>OTPSTRAP_EXT[71]</t>
  </si>
  <si>
    <t>Node0_En_ACPI</t>
  </si>
  <si>
    <t>Enable ACPI</t>
  </si>
  <si>
    <t>SCU1_A00[8]</t>
  </si>
  <si>
    <t>OTPSTRAP_EXT[72]</t>
  </si>
  <si>
    <t>Node0_En_LPC</t>
  </si>
  <si>
    <t>Enable LPC</t>
  </si>
  <si>
    <t>SCU1_A00[9]</t>
  </si>
  <si>
    <t>OTPSTRAP_EXT[73]</t>
  </si>
  <si>
    <t>Node0_En_eDAF</t>
  </si>
  <si>
    <t>Enable eDAF</t>
  </si>
  <si>
    <t>Only takes effect for eSPI mode.</t>
  </si>
  <si>
    <t>SCU1_A00[10]</t>
  </si>
  <si>
    <t>OTPSTRAP_EXT[74]</t>
  </si>
  <si>
    <t>Node0_En_eRTC</t>
  </si>
  <si>
    <t>Enable eSPI RTC</t>
  </si>
  <si>
    <t>SCU1_A00[11]</t>
  </si>
  <si>
    <t>OTPSTRAP_EXT[75]</t>
  </si>
  <si>
    <t>SCU1_A00[15:12]</t>
  </si>
  <si>
    <t>OTPSTRAP_EXT[79:76]</t>
  </si>
  <si>
    <t>SCU1_A20[2:0]</t>
  </si>
  <si>
    <t>SCU1_A20[3]</t>
  </si>
  <si>
    <t>SCU1_A20[5:4]</t>
  </si>
  <si>
    <t>Node1_SIODecSel</t>
  </si>
  <si>
    <t>SCU1_A20[6]</t>
  </si>
  <si>
    <t>Node1_Dis_SIODec</t>
  </si>
  <si>
    <t>SCU1_A20[7]</t>
  </si>
  <si>
    <t>Node1_En_ACPI</t>
  </si>
  <si>
    <t>SCU1_A20[8]</t>
  </si>
  <si>
    <t>Node1_En_LPC</t>
    <phoneticPr fontId="1" type="noConversion"/>
  </si>
  <si>
    <t>SCU1_A20[9]</t>
  </si>
  <si>
    <t>Node1_En_eDAF</t>
  </si>
  <si>
    <t>SCU1_A20[10]</t>
  </si>
  <si>
    <t>Node1_En_eRTC</t>
  </si>
  <si>
    <t>SCU1_A20[11]</t>
  </si>
  <si>
    <t>SCU1_A20[15:12]</t>
  </si>
  <si>
    <t>User Region</t>
    <phoneticPr fontId="1" type="noConversion"/>
  </si>
  <si>
    <t>Reserved for customers (OEM/ODM)</t>
    <phoneticPr fontId="1" type="noConversion"/>
  </si>
  <si>
    <t>Start address
(bytes)</t>
    <phoneticPr fontId="1" type="noConversion"/>
  </si>
  <si>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</si>
  <si>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</si>
  <si>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</si>
  <si>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</si>
  <si>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</si>
  <si>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</si>
  <si>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</si>
  <si>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</si>
  <si>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</si>
  <si>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</si>
  <si>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</si>
  <si>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</si>
  <si>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</si>
  <si>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</si>
  <si>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</si>
  <si>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</si>
  <si>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</si>
  <si>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vault key 0 header</t>
    <phoneticPr fontId="1" type="noConversion"/>
  </si>
  <si>
    <t>vault key 1 header</t>
  </si>
  <si>
    <t>vault key 2 header</t>
  </si>
  <si>
    <t>vault key 3 header</t>
  </si>
  <si>
    <t>reserved (60)</t>
    <phoneticPr fontId="1" type="noConversion"/>
  </si>
  <si>
    <t>key header summary</t>
    <phoneticPr fontId="1" type="noConversion"/>
  </si>
  <si>
    <t>Total 80 key header</t>
    <phoneticPr fontId="1" type="noConversion"/>
  </si>
  <si>
    <t>Key Body</t>
    <phoneticPr fontId="1" type="noConversion"/>
  </si>
  <si>
    <t>10A0</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</si>
  <si>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</si>
  <si>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</si>
  <si>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</si>
  <si>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</si>
  <si>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</si>
  <si>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</si>
  <si>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</si>
  <si>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</si>
  <si>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</si>
  <si>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</si>
  <si>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</si>
  <si>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</si>
  <si>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</si>
  <si>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</si>
  <si>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</si>
  <si>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</si>
  <si>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Vault Key0</t>
    <phoneticPr fontId="1" type="noConversion"/>
  </si>
  <si>
    <t>Vault Key1</t>
  </si>
  <si>
    <t>Vault Key2</t>
  </si>
  <si>
    <t>Vault Key3</t>
  </si>
  <si>
    <t>reserved</t>
    <phoneticPr fontId="1" type="noConversion"/>
  </si>
  <si>
    <t>key summary</t>
    <phoneticPr fontId="1" type="noConversion"/>
  </si>
  <si>
    <t>Sum</t>
    <phoneticPr fontId="1" type="noConversion"/>
  </si>
  <si>
    <t>Caliptra</t>
    <phoneticPr fontId="1" type="noConversion"/>
  </si>
  <si>
    <t>1C00</t>
    <phoneticPr fontId="1" type="noConversion"/>
  </si>
  <si>
    <t>C00</t>
    <phoneticPr fontId="1" type="noConversion"/>
  </si>
  <si>
    <t>Enable LMS verify</t>
    <phoneticPr fontId="1" type="noConversion"/>
  </si>
  <si>
    <t>Secure Boot</t>
    <phoneticPr fontId="1" type="noConversion"/>
  </si>
  <si>
    <t>Anti-rollback disable</t>
  </si>
  <si>
    <t>Anti-Rollback</t>
    <phoneticPr fontId="1" type="noConversion"/>
  </si>
  <si>
    <t>Field Entropy</t>
    <phoneticPr fontId="1" type="noConversion"/>
  </si>
  <si>
    <t>DICE</t>
    <phoneticPr fontId="1" type="noConversion"/>
  </si>
  <si>
    <t>Manufacture Key Hash</t>
  </si>
  <si>
    <t>Secure Boot</t>
  </si>
  <si>
    <t>IDEVID Cert attr</t>
  </si>
  <si>
    <t>IDEVID manuf HSM identifier</t>
  </si>
  <si>
    <t>IDEVID TBS</t>
    <phoneticPr fontId="1" type="noConversion"/>
  </si>
  <si>
    <t>to-be-signed (TBS) payload.
The TBS is the certificate template already patched with the IDevID public key, Subject Key Identifier, serial number, and any extensions that are unique to the device that the vendor may have included.
Maximum size is 916 bytes according to mailbox command</t>
    <phoneticPr fontId="1" type="noConversion"/>
  </si>
  <si>
    <t>IDEVID Cert Signature</t>
  </si>
  <si>
    <t>IDEVID Certificate Signature R &amp; S</t>
    <phoneticPr fontId="1" type="noConversion"/>
  </si>
  <si>
    <t>1F80</t>
    <phoneticPr fontId="1" type="noConversion"/>
  </si>
  <si>
    <t>PUF</t>
    <phoneticPr fontId="1" type="noConversion"/>
  </si>
  <si>
    <t>sw_puf</t>
    <phoneticPr fontId="1" type="noConversion"/>
  </si>
  <si>
    <t>Reserved to customers</t>
    <phoneticPr fontId="1" type="noConversion"/>
  </si>
  <si>
    <t>hw_puf</t>
    <phoneticPr fontId="1" type="noConversion"/>
  </si>
  <si>
    <t>Caliptra OBF Key (HW auto load)</t>
  </si>
  <si>
    <t>Caliptra UDS Seed</t>
  </si>
  <si>
    <t>Reserved to SCU1_7E0</t>
  </si>
  <si>
    <t>Secret vault key</t>
  </si>
  <si>
    <t>Secure Vault</t>
    <phoneticPr fontId="1" type="noConversion"/>
  </si>
  <si>
    <r>
      <rPr>
        <b/>
        <sz val="11"/>
        <color rgb="FFFFFFFF"/>
        <rFont val="新細明體"/>
        <family val="1"/>
        <charset val="136"/>
      </rPr>
      <t>　</t>
    </r>
  </si>
  <si>
    <r>
      <rPr>
        <sz val="11"/>
        <color rgb="FF000000"/>
        <rFont val="新細明體"/>
        <family val="1"/>
        <charset val="136"/>
      </rPr>
      <t>　</t>
    </r>
  </si>
  <si>
    <r>
      <rPr>
        <sz val="11"/>
        <rFont val="新細明體"/>
        <family val="1"/>
        <charset val="136"/>
      </rPr>
      <t>　</t>
    </r>
  </si>
  <si>
    <r>
      <rPr>
        <sz val="11"/>
        <color rgb="FF000000"/>
        <rFont val="Calibri"/>
        <family val="2"/>
      </rPr>
      <t xml:space="preserve">0: disable 1: enable </t>
    </r>
    <r>
      <rPr>
        <b/>
        <sz val="11"/>
        <color rgb="FF0070C0"/>
        <rFont val="Calibri"/>
        <family val="2"/>
      </rPr>
      <t>(wlock)</t>
    </r>
  </si>
  <si>
    <r>
      <rPr>
        <b/>
        <sz val="12"/>
        <color theme="1"/>
        <rFont val="Calibri"/>
        <family val="2"/>
      </rPr>
      <t>Caliptra fuse: LMS VERIFY</t>
    </r>
    <r>
      <rPr>
        <sz val="12"/>
        <color theme="1"/>
        <rFont val="Calibri"/>
        <family val="2"/>
      </rPr>
      <t xml:space="preserve">
Verify Caliptra firmware images with both ECDSA and LMS</t>
    </r>
  </si>
  <si>
    <r>
      <rPr>
        <b/>
        <sz val="12"/>
        <color theme="1"/>
        <rFont val="Calibri"/>
        <family val="2"/>
      </rPr>
      <t>Caliptra fuse: ANTI-ROLLBACK DISABLE</t>
    </r>
    <r>
      <rPr>
        <sz val="12"/>
        <color theme="1"/>
        <rFont val="Calibri"/>
        <family val="2"/>
      </rPr>
      <t xml:space="preserve">
Disable anti-rollback support from Caliptra</t>
    </r>
  </si>
  <si>
    <r>
      <rPr>
        <b/>
        <sz val="12"/>
        <color theme="1"/>
        <rFont val="Calibri"/>
        <family val="2"/>
      </rPr>
      <t xml:space="preserve">Caliptra fuse: FIELD ENTROPY
</t>
    </r>
    <r>
      <rPr>
        <sz val="12"/>
        <color theme="1"/>
        <rFont val="Calibri"/>
        <family val="2"/>
      </rPr>
      <t>Owner secret to hedge against UDS disclosure in the supply chain</t>
    </r>
  </si>
  <si>
    <r>
      <rPr>
        <b/>
        <sz val="12"/>
        <color theme="1"/>
        <rFont val="Calibri"/>
        <family val="2"/>
      </rPr>
      <t xml:space="preserve">Caliptra fuse: KEY MANIFEST PK HASH
</t>
    </r>
    <r>
      <rPr>
        <sz val="12"/>
        <color theme="1"/>
        <rFont val="Calibri"/>
        <family val="2"/>
      </rPr>
      <t>Manufacture/Vendor key hash</t>
    </r>
  </si>
  <si>
    <r>
      <rPr>
        <b/>
        <sz val="12"/>
        <color theme="1"/>
        <rFont val="Calibri"/>
        <family val="2"/>
      </rPr>
      <t xml:space="preserve">Caliptra fuse: IDEVID CERT IDEVID ATTR
</t>
    </r>
    <r>
      <rPr>
        <sz val="12"/>
        <color theme="1"/>
        <rFont val="Calibri"/>
        <family val="2"/>
      </rPr>
      <t xml:space="preserve">The information for generating IDEVID CSR
DW 0: X509 key ID algorithm
0: SHA1
1: SHA256
2: SHA384
3: Fuse </t>
    </r>
    <r>
      <rPr>
        <sz val="12"/>
        <color theme="1"/>
        <rFont val="新細明體"/>
        <family val="1"/>
        <charset val="136"/>
      </rPr>
      <t>→</t>
    </r>
    <r>
      <rPr>
        <sz val="12"/>
        <color theme="1"/>
        <rFont val="Calibri"/>
        <family val="2"/>
      </rPr>
      <t xml:space="preserve"> already programmed DW 1/2/3/4/5, not runtime gen
DW 1/2/3/4/5: Subject Key ID
DW 6: ueid_type
DW 7/8/9/10: Unique endpoint ID (Manufacture Serial number)</t>
    </r>
  </si>
  <si>
    <r>
      <rPr>
        <b/>
        <sz val="12"/>
        <color theme="1"/>
        <rFont val="Calibri"/>
        <family val="2"/>
      </rPr>
      <t xml:space="preserve">Caliptra fuse: IDEVID MANUF HSM IDENTIFIER
</t>
    </r>
    <r>
      <rPr>
        <sz val="12"/>
        <color theme="1"/>
        <rFont val="Calibri"/>
        <family val="2"/>
      </rPr>
      <t>Vendor IDevID provisioner CA identifiers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</si>
</sst>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37"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b/>
      <sz val="16"/>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b/>
      <sz val="14"/>
      <color rgb="FFFF0000"/>
      <name val="Calibri"/>
      <family val="2"/>
    </font>
    <font>
      <b/>
      <sz val="14"/>
      <color rgb="FF0070C0"/>
      <name val="Calibri"/>
      <family val="2"/>
    </font>
    <font>
      <b/>
      <sz val="14"/>
      <color rgb="FF7030A0"/>
      <name val="Calibri"/>
      <family val="2"/>
    </font>
    <font>
      <sz val="14"/>
      <color rgb="FF006100"/>
      <name val="新細明體"/>
      <scheme val="minor"/>
    </font>
    <font>
      <sz val="12"/>
      <color theme="1"/>
      <name val="新細明體"/>
      <scheme val="minor"/>
    </font>
    <font>
      <sz val="12"/>
      <color indexed="8"/>
      <name val="新細明體"/>
      <scheme val="minor"/>
    </font>
    <font>
      <sz val="12"/>
      <color rgb="FF000000"/>
      <name val="新細明體"/>
      <scheme val="minor"/>
    </font>
    <font>
      <b/>
      <sz val="12"/>
      <color rgb="FF000000"/>
      <name val="新細明體"/>
      <scheme val="minor"/>
    </font>
    <font>
      <b/>
      <sz val="12"/>
      <color theme="0"/>
      <name val="新細明體"/>
      <scheme val="minor"/>
    </font>
    <font>
      <sz val="14"/>
      <color rgb="FF006100"/>
      <name val="Calibri"/>
      <family val="2"/>
    </font>
    <font>
      <sz val="12"/>
      <color theme="1"/>
      <name val="Calibri"/>
      <family val="2"/>
    </font>
    <font>
      <sz val="12"/>
      <color indexed="8"/>
      <name val="Calibri"/>
      <family val="2"/>
    </font>
    <font>
      <sz val="12"/>
      <name val="Calibri"/>
      <family val="2"/>
    </font>
    <font>
      <b/>
      <sz val="12"/>
      <color theme="4"/>
      <name val="Calibri"/>
      <family val="2"/>
    </font>
    <font>
      <b/>
      <sz val="11"/>
      <color rgb="FFFFFFFF"/>
      <name val="Calibri"/>
      <family val="2"/>
    </font>
    <font>
      <b/>
      <sz val="11"/>
      <color rgb="FFFFFFFF"/>
      <name val="新細明體"/>
      <family val="1"/>
      <charset val="136"/>
    </font>
    <font>
      <sz val="11"/>
      <color rgb="FF000000"/>
      <name val="新細明體"/>
      <family val="1"/>
      <charset val="136"/>
    </font>
    <font>
      <sz val="11"/>
      <name val="Calibri"/>
      <family val="2"/>
    </font>
    <font>
      <sz val="11"/>
      <name val="新細明體"/>
      <family val="1"/>
      <charset val="136"/>
    </font>
    <font>
      <b/>
      <sz val="11"/>
      <color rgb="FFFF0000"/>
      <name val="Calibri"/>
      <family val="2"/>
    </font>
    <font>
      <b/>
      <sz val="11"/>
      <color rgb="FF0070C0"/>
      <name val="Calibri"/>
      <family val="2"/>
    </font>
    <font>
      <sz val="12"/>
      <color rgb="FF000000"/>
      <name val="Calibri"/>
      <family val="2"/>
    </font>
    <font>
      <sz val="11"/>
      <color rgb="FF00B0F0"/>
      <name val="Calibri"/>
      <family val="2"/>
    </font>
    <font>
      <b/>
      <sz val="12"/>
      <color rgb="FFFF0000"/>
      <name val="Calibri"/>
      <family val="2"/>
    </font>
    <font>
      <b/>
      <sz val="12"/>
      <color theme="1"/>
      <name val="Calibri"/>
      <family val="2"/>
    </font>
    <font>
      <b/>
      <sz val="12"/>
      <color rgb="FF0070C0"/>
      <name val="Calibri"/>
      <family val="2"/>
    </font>
    <font>
      <sz val="12"/>
      <color theme="1"/>
      <name val="新細明體"/>
      <family val="1"/>
      <charset val="136"/>
    </font>
  </fonts>
  <fills count="16">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1" tint="0.499984740745262"/>
        <bgColor indexed="64"/>
      </patternFill>
    </fill>
    <fill>
      <patternFill patternType="solid">
        <fgColor rgb="FFA9D08E"/>
        <bgColor rgb="FF000000"/>
      </patternFill>
    </fill>
    <fill>
      <patternFill patternType="solid">
        <fgColor rgb="FFFFE699"/>
        <bgColor rgb="FF000000"/>
      </patternFill>
    </fill>
    <fill>
      <patternFill patternType="solid">
        <fgColor rgb="FF00B0F0"/>
        <bgColor rgb="FF000000"/>
      </patternFill>
    </fill>
    <fill>
      <patternFill patternType="solid">
        <fgColor theme="7" tint="-0.249977111117893"/>
        <bgColor indexed="64"/>
      </patternFill>
    </fill>
    <fill>
      <patternFill patternType="solid">
        <fgColor rgb="FF808080"/>
        <bgColor rgb="FF000000"/>
      </patternFill>
    </fill>
    <fill>
      <patternFill patternType="solid">
        <fgColor rgb="FFFFC000"/>
        <bgColor rgb="FF000000"/>
      </patternFill>
    </fill>
    <fill>
      <patternFill patternType="solid">
        <fgColor rgb="FFFFFFFF"/>
        <bgColor rgb="FF000000"/>
      </patternFill>
    </fill>
    <fill>
      <patternFill patternType="solid">
        <fgColor theme="5" tint="0.59999389629810485"/>
        <bgColor indexed="64"/>
      </patternFill>
    </fill>
    <fill>
      <patternFill patternType="solid">
        <fgColor theme="5" tint="0.59999389629810485"/>
        <bgColor rgb="FF000000"/>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indexed="64"/>
      </left>
      <right style="thin">
        <color indexed="64"/>
      </right>
      <top/>
      <bottom style="thin">
        <color rgb="FF000000"/>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medium">
        <color indexed="64"/>
      </bottom>
      <diagonal/>
    </border>
    <border>
      <left style="thin">
        <color indexed="64"/>
      </left>
      <right style="thin">
        <color indexed="64"/>
      </right>
      <top/>
      <bottom style="medium">
        <color rgb="FF00000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000000"/>
      </left>
      <right style="thin">
        <color rgb="FF000000"/>
      </right>
      <top style="thin">
        <color rgb="FF000000"/>
      </top>
      <bottom style="medium">
        <color rgb="FF000000"/>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rgb="FF000000"/>
      </right>
      <top/>
      <bottom style="medium">
        <color indexed="64"/>
      </bottom>
      <diagonal/>
    </border>
    <border>
      <left/>
      <right/>
      <top style="medium">
        <color indexed="64"/>
      </top>
      <bottom style="medium">
        <color indexed="64"/>
      </bottom>
      <diagonal/>
    </border>
    <border>
      <left/>
      <right style="thin">
        <color indexed="64"/>
      </right>
      <top/>
      <bottom style="thin">
        <color rgb="FF000000"/>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rgb="FF000000"/>
      </right>
      <top/>
      <bottom style="thin">
        <color rgb="FF000000"/>
      </bottom>
      <diagonal/>
    </border>
    <border>
      <left/>
      <right style="thin">
        <color rgb="FF000000"/>
      </right>
      <top/>
      <bottom/>
      <diagonal/>
    </border>
    <border>
      <left/>
      <right style="thin">
        <color indexed="64"/>
      </right>
      <top/>
      <bottom/>
      <diagonal/>
    </border>
    <border>
      <left style="thin">
        <color indexed="64"/>
      </left>
      <right/>
      <top/>
      <bottom style="medium">
        <color indexed="64"/>
      </bottom>
      <diagonal/>
    </border>
    <border>
      <left/>
      <right/>
      <top/>
      <bottom style="medium">
        <color indexed="64"/>
      </bottom>
      <diagonal/>
    </border>
    <border>
      <left style="medium">
        <color rgb="FF000000"/>
      </left>
      <right style="thin">
        <color indexed="64"/>
      </right>
      <top style="medium">
        <color rgb="FF000000"/>
      </top>
      <bottom/>
      <diagonal/>
    </border>
    <border>
      <left/>
      <right style="thin">
        <color indexed="64"/>
      </right>
      <top style="medium">
        <color indexed="64"/>
      </top>
      <bottom/>
      <diagonal/>
    </border>
    <border>
      <left style="medium">
        <color rgb="FF000000"/>
      </left>
      <right style="thin">
        <color indexed="64"/>
      </right>
      <top/>
      <bottom style="medium">
        <color rgb="FF000000"/>
      </bottom>
      <diagonal/>
    </border>
    <border>
      <left/>
      <right style="thin">
        <color indexed="64"/>
      </right>
      <top/>
      <bottom style="medium">
        <color indexed="64"/>
      </bottom>
      <diagonal/>
    </border>
    <border>
      <left style="thin">
        <color indexed="64"/>
      </left>
      <right style="thin">
        <color indexed="64"/>
      </right>
      <top style="medium">
        <color rgb="FF000000"/>
      </top>
      <bottom/>
      <diagonal/>
    </border>
    <border>
      <left/>
      <right/>
      <top style="medium">
        <color rgb="FF000000"/>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thin">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rgb="FF000000"/>
      </bottom>
      <diagonal/>
    </border>
    <border>
      <left style="thin">
        <color rgb="FF000000"/>
      </left>
      <right style="thin">
        <color indexed="64"/>
      </right>
      <top style="thin">
        <color rgb="FF000000"/>
      </top>
      <bottom style="medium">
        <color rgb="FF000000"/>
      </bottom>
      <diagonal/>
    </border>
    <border>
      <left style="thin">
        <color rgb="FF000000"/>
      </left>
      <right/>
      <top style="thin">
        <color rgb="FF000000"/>
      </top>
      <bottom/>
      <diagonal/>
    </border>
    <border>
      <left/>
      <right/>
      <top/>
      <bottom style="thin">
        <color indexed="64"/>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bottom style="medium">
        <color indexed="64"/>
      </bottom>
      <diagonal/>
    </border>
    <border>
      <left/>
      <right/>
      <top style="thin">
        <color indexed="64"/>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style="thin">
        <color rgb="FF000000"/>
      </bottom>
      <diagonal/>
    </border>
    <border>
      <left style="thin">
        <color rgb="FF000000"/>
      </left>
      <right style="thin">
        <color indexed="64"/>
      </right>
      <top/>
      <bottom style="thin">
        <color rgb="FF000000"/>
      </bottom>
      <diagonal/>
    </border>
    <border>
      <left style="thin">
        <color indexed="64"/>
      </left>
      <right style="thin">
        <color rgb="FF000000"/>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style="thin">
        <color rgb="FF000000"/>
      </right>
      <top/>
      <bottom style="medium">
        <color rgb="FF000000"/>
      </bottom>
      <diagonal/>
    </border>
    <border>
      <left style="thin">
        <color indexed="64"/>
      </left>
      <right style="thin">
        <color indexed="64"/>
      </right>
      <top style="medium">
        <color indexed="64"/>
      </top>
      <bottom style="medium">
        <color rgb="FF000000"/>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4">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6" fillId="0" borderId="0"/>
  </cellStyleXfs>
  <cellXfs count="319">
    <xf numFmtId="0" fontId="0" fillId="0" borderId="0" xfId="0">
      <alignment vertical="center"/>
    </xf>
    <xf numFmtId="0" fontId="4" fillId="0" borderId="0" xfId="0" applyFont="1">
      <alignment vertical="center"/>
    </xf>
    <xf numFmtId="0" fontId="4" fillId="0" borderId="1" xfId="0" applyFont="1" applyBorder="1">
      <alignment vertical="center"/>
    </xf>
    <xf numFmtId="177" fontId="4" fillId="0" borderId="1" xfId="0" applyNumberFormat="1" applyFont="1" applyBorder="1">
      <alignment vertical="center"/>
    </xf>
    <xf numFmtId="0" fontId="4" fillId="0" borderId="4" xfId="0" applyFont="1" applyBorder="1">
      <alignment vertical="center"/>
    </xf>
    <xf numFmtId="177" fontId="4" fillId="0" borderId="4" xfId="0" applyNumberFormat="1" applyFont="1" applyBorder="1">
      <alignment vertical="center"/>
    </xf>
    <xf numFmtId="0" fontId="4" fillId="0" borderId="22" xfId="0" applyFont="1" applyBorder="1">
      <alignment vertical="center"/>
    </xf>
    <xf numFmtId="177" fontId="4" fillId="0" borderId="22" xfId="0" applyNumberFormat="1" applyFont="1" applyBorder="1">
      <alignment vertical="center"/>
    </xf>
    <xf numFmtId="0" fontId="8" fillId="3" borderId="1" xfId="0" applyFont="1" applyFill="1" applyBorder="1">
      <alignment vertical="center"/>
    </xf>
    <xf numFmtId="49" fontId="4" fillId="0" borderId="1" xfId="0" applyNumberFormat="1" applyFont="1" applyBorder="1">
      <alignment vertical="center"/>
    </xf>
    <xf numFmtId="0" fontId="8" fillId="0" borderId="1" xfId="0" applyFont="1" applyBorder="1">
      <alignment vertical="center"/>
    </xf>
    <xf numFmtId="178" fontId="8" fillId="0" borderId="1" xfId="0" applyNumberFormat="1" applyFont="1" applyBorder="1">
      <alignment vertical="center"/>
    </xf>
    <xf numFmtId="0" fontId="4" fillId="0" borderId="3" xfId="0" applyFont="1" applyBorder="1">
      <alignment vertical="center"/>
    </xf>
    <xf numFmtId="0" fontId="14" fillId="0" borderId="35" xfId="0" applyFont="1" applyBorder="1" applyAlignment="1">
      <alignment vertical="center" wrapText="1"/>
    </xf>
    <xf numFmtId="0" fontId="14" fillId="0" borderId="0" xfId="0" applyFont="1" applyAlignment="1">
      <alignment vertical="center" wrapText="1"/>
    </xf>
    <xf numFmtId="0" fontId="14" fillId="0" borderId="0" xfId="0" applyFont="1">
      <alignment vertical="center"/>
    </xf>
    <xf numFmtId="0" fontId="14" fillId="0" borderId="1" xfId="0" applyFont="1" applyBorder="1" applyAlignment="1">
      <alignment vertical="center" wrapText="1"/>
    </xf>
    <xf numFmtId="0" fontId="13" fillId="2" borderId="3" xfId="2" applyFont="1" applyBorder="1" applyAlignment="1">
      <alignment vertical="center" wrapText="1"/>
    </xf>
    <xf numFmtId="0" fontId="15" fillId="0" borderId="0" xfId="3" applyFont="1"/>
    <xf numFmtId="0" fontId="14" fillId="0" borderId="0" xfId="3" applyFont="1"/>
    <xf numFmtId="0" fontId="14" fillId="5" borderId="0" xfId="3" applyFont="1" applyFill="1"/>
    <xf numFmtId="0" fontId="14" fillId="0" borderId="4" xfId="3" applyFont="1" applyBorder="1"/>
    <xf numFmtId="0" fontId="14" fillId="0" borderId="27" xfId="3" applyFont="1" applyBorder="1"/>
    <xf numFmtId="0" fontId="14" fillId="0" borderId="10" xfId="3" applyFont="1" applyBorder="1"/>
    <xf numFmtId="0" fontId="14" fillId="0" borderId="2" xfId="3" applyFont="1" applyBorder="1"/>
    <xf numFmtId="0" fontId="14" fillId="0" borderId="16" xfId="3" applyFont="1" applyBorder="1"/>
    <xf numFmtId="0" fontId="14" fillId="0" borderId="22" xfId="3" applyFont="1" applyBorder="1"/>
    <xf numFmtId="0" fontId="14" fillId="0" borderId="1" xfId="3" applyFont="1" applyBorder="1"/>
    <xf numFmtId="0" fontId="14" fillId="0" borderId="3" xfId="3" applyFont="1" applyBorder="1"/>
    <xf numFmtId="0" fontId="14" fillId="0" borderId="41" xfId="3" applyFont="1" applyBorder="1"/>
    <xf numFmtId="0" fontId="14" fillId="0" borderId="46" xfId="3" applyFont="1" applyBorder="1"/>
    <xf numFmtId="0" fontId="14" fillId="0" borderId="25" xfId="3" applyFont="1" applyBorder="1"/>
    <xf numFmtId="49" fontId="15" fillId="0" borderId="11" xfId="3" applyNumberFormat="1" applyFont="1" applyBorder="1" applyAlignment="1">
      <alignment vertical="center"/>
    </xf>
    <xf numFmtId="0" fontId="15" fillId="0" borderId="0" xfId="3" applyFont="1" applyAlignment="1">
      <alignment vertical="center"/>
    </xf>
    <xf numFmtId="0" fontId="15" fillId="0" borderId="0" xfId="3" applyFont="1" applyAlignment="1">
      <alignment vertical="center" wrapText="1"/>
    </xf>
    <xf numFmtId="49" fontId="16" fillId="0" borderId="1" xfId="0" applyNumberFormat="1" applyFont="1" applyBorder="1">
      <alignment vertical="center"/>
    </xf>
    <xf numFmtId="49" fontId="16" fillId="0" borderId="67" xfId="0" applyNumberFormat="1" applyFont="1" applyBorder="1">
      <alignment vertical="center"/>
    </xf>
    <xf numFmtId="49" fontId="16" fillId="0" borderId="52" xfId="0" applyNumberFormat="1" applyFont="1" applyBorder="1">
      <alignment vertical="center"/>
    </xf>
    <xf numFmtId="49" fontId="16" fillId="0" borderId="68" xfId="0" applyNumberFormat="1" applyFont="1" applyBorder="1" applyAlignment="1">
      <alignment vertical="center" wrapText="1"/>
    </xf>
    <xf numFmtId="49" fontId="16" fillId="0" borderId="69" xfId="0" applyNumberFormat="1" applyFont="1" applyBorder="1">
      <alignment vertical="center"/>
    </xf>
    <xf numFmtId="49" fontId="16" fillId="0" borderId="70" xfId="0" applyNumberFormat="1" applyFont="1" applyBorder="1">
      <alignment vertical="center"/>
    </xf>
    <xf numFmtId="49" fontId="16" fillId="0" borderId="71" xfId="0" applyNumberFormat="1" applyFont="1" applyBorder="1">
      <alignment vertical="center"/>
    </xf>
    <xf numFmtId="49" fontId="16" fillId="0" borderId="22" xfId="0" applyNumberFormat="1" applyFont="1" applyBorder="1">
      <alignment vertical="center"/>
    </xf>
    <xf numFmtId="49" fontId="16" fillId="0" borderId="72" xfId="0" applyNumberFormat="1" applyFont="1" applyBorder="1">
      <alignment vertical="center"/>
    </xf>
    <xf numFmtId="49" fontId="16" fillId="0" borderId="4" xfId="0" applyNumberFormat="1" applyFont="1" applyBorder="1">
      <alignment vertical="center"/>
    </xf>
    <xf numFmtId="0" fontId="14" fillId="0" borderId="4" xfId="0" applyFont="1" applyBorder="1">
      <alignment vertical="center"/>
    </xf>
    <xf numFmtId="0" fontId="14" fillId="0" borderId="57" xfId="0" applyFont="1" applyBorder="1">
      <alignment vertical="center"/>
    </xf>
    <xf numFmtId="0" fontId="18" fillId="0" borderId="0" xfId="0" applyFont="1">
      <alignment vertical="center"/>
    </xf>
    <xf numFmtId="0" fontId="18" fillId="6" borderId="0" xfId="0" applyFont="1" applyFill="1">
      <alignment vertical="center"/>
    </xf>
    <xf numFmtId="0" fontId="14" fillId="0" borderId="1" xfId="0" applyFont="1" applyBorder="1">
      <alignment vertical="center"/>
    </xf>
    <xf numFmtId="49" fontId="16" fillId="0" borderId="1" xfId="0" applyNumberFormat="1" applyFont="1" applyBorder="1" applyAlignment="1">
      <alignment vertical="center" wrapText="1"/>
    </xf>
    <xf numFmtId="0" fontId="14" fillId="0" borderId="20" xfId="0" applyFont="1" applyBorder="1">
      <alignment vertical="center"/>
    </xf>
    <xf numFmtId="0" fontId="14" fillId="0" borderId="1" xfId="0" applyFont="1" applyBorder="1" applyAlignment="1">
      <alignment horizontal="left" vertical="center"/>
    </xf>
    <xf numFmtId="0" fontId="16" fillId="0" borderId="1" xfId="0" applyFont="1" applyBorder="1" applyAlignment="1">
      <alignment horizontal="left" vertical="center"/>
    </xf>
    <xf numFmtId="0" fontId="9" fillId="0" borderId="1" xfId="0" applyFont="1" applyBorder="1" applyAlignment="1">
      <alignment vertical="center" wrapText="1"/>
    </xf>
    <xf numFmtId="0" fontId="9" fillId="0" borderId="4" xfId="0" applyFont="1" applyBorder="1" applyAlignment="1">
      <alignment vertical="center" wrapText="1"/>
    </xf>
    <xf numFmtId="0" fontId="16" fillId="0" borderId="0" xfId="0" applyFont="1">
      <alignment vertical="center"/>
    </xf>
    <xf numFmtId="0" fontId="9" fillId="0" borderId="3" xfId="0" applyFont="1" applyBorder="1" applyAlignment="1">
      <alignment vertical="center" wrapText="1"/>
    </xf>
    <xf numFmtId="0" fontId="9" fillId="0" borderId="5" xfId="0" applyFont="1" applyBorder="1" applyAlignment="1">
      <alignment vertical="center" wrapText="1"/>
    </xf>
    <xf numFmtId="0" fontId="5" fillId="4" borderId="1" xfId="0" applyFont="1" applyFill="1" applyBorder="1" applyAlignment="1">
      <alignment horizontal="left" vertical="center"/>
    </xf>
    <xf numFmtId="0" fontId="11" fillId="0" borderId="12" xfId="0" applyFont="1" applyBorder="1" applyAlignment="1">
      <alignment horizontal="center" vertical="center" wrapText="1"/>
    </xf>
    <xf numFmtId="0" fontId="11" fillId="0" borderId="13" xfId="0" applyFont="1" applyBorder="1" applyAlignment="1">
      <alignment horizontal="center" vertical="center" wrapText="1"/>
    </xf>
    <xf numFmtId="0" fontId="11" fillId="0" borderId="14"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13" xfId="0" applyFont="1" applyBorder="1" applyAlignment="1">
      <alignment horizontal="center" vertical="center"/>
    </xf>
    <xf numFmtId="0" fontId="10" fillId="0" borderId="14" xfId="0" applyFont="1" applyBorder="1" applyAlignment="1">
      <alignment horizontal="center" vertical="center"/>
    </xf>
    <xf numFmtId="0" fontId="12" fillId="0" borderId="12" xfId="0" applyFont="1" applyBorder="1" applyAlignment="1">
      <alignment horizontal="center" vertical="center" wrapText="1"/>
    </xf>
    <xf numFmtId="0" fontId="12" fillId="0" borderId="13" xfId="0" applyFont="1" applyBorder="1" applyAlignment="1">
      <alignment horizontal="center" vertical="center"/>
    </xf>
    <xf numFmtId="0" fontId="12" fillId="0" borderId="14" xfId="0" applyFont="1" applyBorder="1" applyAlignment="1">
      <alignment horizontal="center" vertical="center"/>
    </xf>
    <xf numFmtId="49" fontId="17" fillId="3" borderId="15" xfId="0" applyNumberFormat="1" applyFont="1" applyFill="1" applyBorder="1" applyAlignment="1">
      <alignment horizontal="left" vertical="center" wrapText="1"/>
    </xf>
    <xf numFmtId="49" fontId="17" fillId="3" borderId="62" xfId="0" applyNumberFormat="1" applyFont="1" applyFill="1" applyBorder="1" applyAlignment="1">
      <alignment horizontal="left" vertical="center"/>
    </xf>
    <xf numFmtId="49" fontId="17" fillId="3" borderId="21" xfId="0" applyNumberFormat="1" applyFont="1" applyFill="1" applyBorder="1" applyAlignment="1">
      <alignment horizontal="left" vertical="center"/>
    </xf>
    <xf numFmtId="49" fontId="17" fillId="3" borderId="12" xfId="0" applyNumberFormat="1" applyFont="1" applyFill="1" applyBorder="1" applyAlignment="1">
      <alignment horizontal="left" vertical="center" wrapText="1"/>
    </xf>
    <xf numFmtId="49" fontId="17" fillId="3" borderId="13" xfId="0" applyNumberFormat="1" applyFont="1" applyFill="1" applyBorder="1" applyAlignment="1">
      <alignment horizontal="left" vertical="center" wrapText="1"/>
    </xf>
    <xf numFmtId="49" fontId="17" fillId="3" borderId="14" xfId="0" applyNumberFormat="1" applyFont="1" applyFill="1" applyBorder="1" applyAlignment="1">
      <alignment horizontal="left" vertical="center" wrapText="1"/>
    </xf>
    <xf numFmtId="0" fontId="19" fillId="2" borderId="22" xfId="2" applyFont="1" applyBorder="1" applyAlignment="1">
      <alignment vertical="center" wrapText="1"/>
    </xf>
    <xf numFmtId="0" fontId="20" fillId="0" borderId="35" xfId="0" applyFont="1" applyBorder="1" applyAlignment="1">
      <alignment vertical="center" wrapText="1"/>
    </xf>
    <xf numFmtId="49" fontId="20" fillId="0" borderId="4" xfId="0" applyNumberFormat="1" applyFont="1" applyBorder="1" applyAlignment="1">
      <alignment horizontal="left" vertical="center" wrapText="1"/>
    </xf>
    <xf numFmtId="0" fontId="20" fillId="0" borderId="4" xfId="3" applyFont="1" applyBorder="1" applyAlignment="1">
      <alignment vertical="center"/>
    </xf>
    <xf numFmtId="0" fontId="20" fillId="0" borderId="4" xfId="0" applyFont="1" applyBorder="1" applyAlignment="1">
      <alignment vertical="center" wrapText="1"/>
    </xf>
    <xf numFmtId="0" fontId="21" fillId="0" borderId="52" xfId="3" applyFont="1" applyBorder="1" applyAlignment="1">
      <alignment vertical="center" wrapText="1"/>
    </xf>
    <xf numFmtId="0" fontId="22" fillId="0" borderId="4" xfId="0" applyFont="1" applyBorder="1" applyAlignment="1">
      <alignment vertical="center" wrapText="1"/>
    </xf>
    <xf numFmtId="0" fontId="20" fillId="0" borderId="0" xfId="0" applyFont="1" applyAlignment="1">
      <alignment vertical="center" wrapText="1"/>
    </xf>
    <xf numFmtId="0" fontId="20" fillId="3" borderId="25" xfId="0" applyFont="1" applyFill="1" applyBorder="1" applyAlignment="1">
      <alignment vertical="center" wrapText="1"/>
    </xf>
    <xf numFmtId="0" fontId="20" fillId="3" borderId="51" xfId="0" applyFont="1" applyFill="1" applyBorder="1" applyAlignment="1">
      <alignment vertical="center" wrapText="1"/>
    </xf>
    <xf numFmtId="0" fontId="20" fillId="3" borderId="53" xfId="0" applyFont="1" applyFill="1" applyBorder="1" applyAlignment="1">
      <alignment vertical="center" wrapText="1"/>
    </xf>
    <xf numFmtId="0" fontId="20" fillId="0" borderId="4" xfId="3" applyFont="1" applyBorder="1" applyAlignment="1">
      <alignment vertical="center" wrapText="1"/>
    </xf>
    <xf numFmtId="0" fontId="20" fillId="0" borderId="1" xfId="0" applyFont="1" applyBorder="1" applyAlignment="1">
      <alignment vertical="center" wrapText="1"/>
    </xf>
    <xf numFmtId="176" fontId="20" fillId="0" borderId="1" xfId="0" applyNumberFormat="1" applyFont="1" applyBorder="1" applyAlignment="1">
      <alignment vertical="center" wrapText="1"/>
    </xf>
    <xf numFmtId="0" fontId="22" fillId="0" borderId="1" xfId="0" applyFont="1" applyBorder="1" applyAlignment="1">
      <alignment vertical="center" wrapText="1"/>
    </xf>
    <xf numFmtId="0" fontId="20" fillId="0" borderId="1" xfId="3" applyFont="1" applyBorder="1" applyAlignment="1">
      <alignment vertical="center" wrapText="1"/>
    </xf>
    <xf numFmtId="0" fontId="21" fillId="0" borderId="1" xfId="3" applyFont="1" applyBorder="1" applyAlignment="1">
      <alignment vertical="center" wrapText="1"/>
    </xf>
    <xf numFmtId="176" fontId="20" fillId="0" borderId="3" xfId="0" applyNumberFormat="1" applyFont="1" applyBorder="1" applyAlignment="1">
      <alignment vertical="center" wrapText="1"/>
    </xf>
    <xf numFmtId="0" fontId="20" fillId="0" borderId="3" xfId="0" applyFont="1" applyBorder="1" applyAlignment="1">
      <alignment vertical="center" wrapText="1"/>
    </xf>
    <xf numFmtId="0" fontId="22" fillId="0" borderId="3" xfId="0" applyFont="1" applyBorder="1" applyAlignment="1">
      <alignment vertical="center" wrapText="1"/>
    </xf>
    <xf numFmtId="0" fontId="22" fillId="0" borderId="2" xfId="0" applyFont="1" applyBorder="1" applyAlignment="1">
      <alignment vertical="center" wrapText="1"/>
    </xf>
    <xf numFmtId="0" fontId="22" fillId="0" borderId="5" xfId="0" applyFont="1" applyBorder="1" applyAlignment="1">
      <alignment vertical="center" wrapText="1"/>
    </xf>
    <xf numFmtId="0" fontId="20" fillId="0" borderId="21" xfId="0" applyFont="1" applyBorder="1" applyAlignment="1">
      <alignment vertical="center" wrapText="1"/>
    </xf>
    <xf numFmtId="0" fontId="21" fillId="0" borderId="3" xfId="3" applyFont="1" applyBorder="1" applyAlignment="1">
      <alignment vertical="center" wrapText="1"/>
    </xf>
    <xf numFmtId="0" fontId="20" fillId="0" borderId="2" xfId="0" applyFont="1" applyBorder="1" applyAlignment="1">
      <alignment vertical="center" wrapText="1"/>
    </xf>
    <xf numFmtId="0" fontId="19" fillId="2" borderId="3" xfId="2" applyFont="1" applyBorder="1" applyAlignment="1">
      <alignment vertical="center" wrapText="1"/>
    </xf>
    <xf numFmtId="0" fontId="20" fillId="0" borderId="3" xfId="3" applyFont="1" applyBorder="1" applyAlignment="1">
      <alignment horizontal="left" vertical="center"/>
    </xf>
    <xf numFmtId="0" fontId="20" fillId="0" borderId="3" xfId="3" applyFont="1" applyBorder="1" applyAlignment="1">
      <alignment vertical="center"/>
    </xf>
    <xf numFmtId="0" fontId="20" fillId="0" borderId="15" xfId="3" applyFont="1" applyBorder="1" applyAlignment="1">
      <alignment vertical="center"/>
    </xf>
    <xf numFmtId="0" fontId="20" fillId="0" borderId="5" xfId="3" applyFont="1" applyBorder="1" applyAlignment="1">
      <alignment vertical="center" wrapText="1"/>
    </xf>
    <xf numFmtId="0" fontId="20" fillId="0" borderId="21" xfId="3" applyFont="1" applyBorder="1" applyAlignment="1">
      <alignment vertical="center"/>
    </xf>
    <xf numFmtId="0" fontId="20" fillId="0" borderId="2" xfId="3" applyFont="1" applyBorder="1" applyAlignment="1">
      <alignment horizontal="left" vertical="center"/>
    </xf>
    <xf numFmtId="0" fontId="20" fillId="5" borderId="1" xfId="3" applyFont="1" applyFill="1" applyBorder="1" applyAlignment="1">
      <alignment vertical="center"/>
    </xf>
    <xf numFmtId="0" fontId="23" fillId="0" borderId="1" xfId="3" applyFont="1" applyBorder="1" applyAlignment="1">
      <alignment vertical="center"/>
    </xf>
    <xf numFmtId="0" fontId="20" fillId="0" borderId="4" xfId="3" applyFont="1" applyBorder="1" applyAlignment="1">
      <alignment wrapText="1"/>
    </xf>
    <xf numFmtId="0" fontId="20" fillId="5" borderId="1" xfId="3" applyFont="1" applyFill="1" applyBorder="1" applyAlignment="1">
      <alignment vertical="center" wrapText="1"/>
    </xf>
    <xf numFmtId="0" fontId="20" fillId="0" borderId="1" xfId="3" applyFont="1" applyBorder="1" applyAlignment="1">
      <alignment vertical="center"/>
    </xf>
    <xf numFmtId="0" fontId="20" fillId="0" borderId="3" xfId="3" applyFont="1" applyBorder="1" applyAlignment="1">
      <alignment vertical="center" wrapText="1"/>
    </xf>
    <xf numFmtId="0" fontId="20" fillId="0" borderId="19" xfId="3" applyFont="1" applyBorder="1" applyAlignment="1">
      <alignment vertical="center"/>
    </xf>
    <xf numFmtId="0" fontId="20" fillId="0" borderId="20" xfId="3" applyFont="1" applyBorder="1" applyAlignment="1">
      <alignment vertical="center"/>
    </xf>
    <xf numFmtId="20" fontId="20" fillId="0" borderId="5" xfId="3" applyNumberFormat="1" applyFont="1" applyBorder="1" applyAlignment="1">
      <alignment vertical="center" wrapText="1"/>
    </xf>
    <xf numFmtId="0" fontId="20" fillId="0" borderId="14" xfId="3" applyFont="1" applyBorder="1" applyAlignment="1">
      <alignment vertical="center" wrapText="1"/>
    </xf>
    <xf numFmtId="0" fontId="20" fillId="0" borderId="12" xfId="3" applyFont="1" applyBorder="1" applyAlignment="1">
      <alignment vertical="center"/>
    </xf>
    <xf numFmtId="0" fontId="23" fillId="0" borderId="12" xfId="3" applyFont="1" applyBorder="1" applyAlignment="1">
      <alignment vertical="center"/>
    </xf>
    <xf numFmtId="0" fontId="20" fillId="0" borderId="12" xfId="3" applyFont="1" applyBorder="1" applyAlignment="1">
      <alignment vertical="center" wrapText="1"/>
    </xf>
    <xf numFmtId="0" fontId="20" fillId="5" borderId="12" xfId="3" applyFont="1" applyFill="1" applyBorder="1" applyAlignment="1">
      <alignment vertical="center"/>
    </xf>
    <xf numFmtId="0" fontId="20" fillId="0" borderId="14" xfId="3" applyFont="1" applyBorder="1" applyAlignment="1">
      <alignment vertical="center"/>
    </xf>
    <xf numFmtId="0" fontId="20" fillId="0" borderId="17" xfId="3" applyFont="1" applyBorder="1" applyAlignment="1">
      <alignment horizontal="left" vertical="center"/>
    </xf>
    <xf numFmtId="0" fontId="20" fillId="0" borderId="22" xfId="3" applyFont="1" applyBorder="1" applyAlignment="1">
      <alignment vertical="center"/>
    </xf>
    <xf numFmtId="0" fontId="20" fillId="0" borderId="76" xfId="3" applyFont="1" applyBorder="1" applyAlignment="1">
      <alignment vertical="center" wrapText="1"/>
    </xf>
    <xf numFmtId="0" fontId="20" fillId="0" borderId="23" xfId="3" applyFont="1" applyBorder="1" applyAlignment="1">
      <alignment vertical="center" wrapText="1"/>
    </xf>
    <xf numFmtId="0" fontId="20" fillId="0" borderId="75" xfId="3" applyFont="1" applyBorder="1" applyAlignment="1">
      <alignment vertical="center" wrapText="1"/>
    </xf>
    <xf numFmtId="49" fontId="20" fillId="0" borderId="24" xfId="3" applyNumberFormat="1" applyFont="1" applyBorder="1" applyAlignment="1">
      <alignment vertical="center"/>
    </xf>
    <xf numFmtId="0" fontId="20" fillId="0" borderId="27" xfId="3" applyFont="1" applyBorder="1" applyAlignment="1">
      <alignment vertical="center" wrapText="1"/>
    </xf>
    <xf numFmtId="0" fontId="20" fillId="0" borderId="25" xfId="3" applyFont="1" applyBorder="1" applyAlignment="1">
      <alignment vertical="center"/>
    </xf>
    <xf numFmtId="0" fontId="20" fillId="0" borderId="17" xfId="3" applyFont="1" applyBorder="1" applyAlignment="1">
      <alignment vertical="center" wrapText="1"/>
    </xf>
    <xf numFmtId="49" fontId="20" fillId="0" borderId="2" xfId="3" applyNumberFormat="1" applyFont="1" applyBorder="1" applyAlignment="1">
      <alignment vertical="center"/>
    </xf>
    <xf numFmtId="0" fontId="20" fillId="0" borderId="2" xfId="3" applyFont="1" applyBorder="1" applyAlignment="1">
      <alignment vertical="center"/>
    </xf>
    <xf numFmtId="0" fontId="20" fillId="0" borderId="4" xfId="3" applyFont="1" applyBorder="1"/>
    <xf numFmtId="0" fontId="20" fillId="0" borderId="1" xfId="3" applyFont="1" applyBorder="1" applyAlignment="1">
      <alignment wrapText="1"/>
    </xf>
    <xf numFmtId="49" fontId="20" fillId="0" borderId="18" xfId="3" applyNumberFormat="1" applyFont="1" applyBorder="1" applyAlignment="1">
      <alignment vertical="center"/>
    </xf>
    <xf numFmtId="0" fontId="20" fillId="0" borderId="18" xfId="3" applyFont="1" applyBorder="1" applyAlignment="1">
      <alignment vertical="center"/>
    </xf>
    <xf numFmtId="49" fontId="20" fillId="0" borderId="17" xfId="3" applyNumberFormat="1" applyFont="1" applyBorder="1" applyAlignment="1">
      <alignment vertical="center"/>
    </xf>
    <xf numFmtId="0" fontId="20" fillId="0" borderId="25" xfId="3" applyFont="1" applyBorder="1" applyAlignment="1">
      <alignment vertical="center" wrapText="1"/>
    </xf>
    <xf numFmtId="49" fontId="20" fillId="0" borderId="29" xfId="3" applyNumberFormat="1" applyFont="1" applyBorder="1" applyAlignment="1">
      <alignment vertical="center"/>
    </xf>
    <xf numFmtId="0" fontId="20" fillId="0" borderId="30" xfId="3" applyFont="1" applyBorder="1" applyAlignment="1">
      <alignment vertical="center"/>
    </xf>
    <xf numFmtId="0" fontId="20" fillId="0" borderId="10" xfId="3" applyFont="1" applyBorder="1" applyAlignment="1">
      <alignment vertical="center"/>
    </xf>
    <xf numFmtId="0" fontId="20" fillId="0" borderId="10" xfId="3" applyFont="1" applyBorder="1" applyAlignment="1">
      <alignment vertical="center" wrapText="1"/>
    </xf>
    <xf numFmtId="0" fontId="20" fillId="0" borderId="11" xfId="3" applyFont="1" applyBorder="1" applyAlignment="1">
      <alignment vertical="center"/>
    </xf>
    <xf numFmtId="0" fontId="20" fillId="0" borderId="7" xfId="3" applyFont="1" applyBorder="1" applyAlignment="1">
      <alignment vertical="center"/>
    </xf>
    <xf numFmtId="0" fontId="20" fillId="0" borderId="7" xfId="3" applyFont="1" applyBorder="1" applyAlignment="1">
      <alignment vertical="center" wrapText="1"/>
    </xf>
    <xf numFmtId="0" fontId="20" fillId="0" borderId="2" xfId="3" applyFont="1" applyBorder="1" applyAlignment="1">
      <alignment vertical="center" wrapText="1"/>
    </xf>
    <xf numFmtId="49" fontId="20" fillId="0" borderId="17" xfId="3" applyNumberFormat="1" applyFont="1" applyBorder="1" applyAlignment="1">
      <alignment vertical="center"/>
    </xf>
    <xf numFmtId="0" fontId="20" fillId="0" borderId="34" xfId="3" applyFont="1" applyBorder="1" applyAlignment="1">
      <alignment vertical="center"/>
    </xf>
    <xf numFmtId="0" fontId="20" fillId="0" borderId="16" xfId="3" applyFont="1" applyBorder="1" applyAlignment="1">
      <alignment vertical="center"/>
    </xf>
    <xf numFmtId="0" fontId="20" fillId="0" borderId="16" xfId="3" applyFont="1" applyBorder="1" applyAlignment="1">
      <alignment vertical="center" wrapText="1"/>
    </xf>
    <xf numFmtId="0" fontId="20" fillId="0" borderId="29" xfId="3" applyFont="1" applyBorder="1" applyAlignment="1">
      <alignment vertical="center"/>
    </xf>
    <xf numFmtId="0" fontId="20" fillId="0" borderId="2" xfId="3" applyFont="1" applyBorder="1" applyAlignment="1">
      <alignment vertical="center"/>
    </xf>
    <xf numFmtId="0" fontId="20" fillId="0" borderId="0" xfId="3" applyFont="1" applyAlignment="1">
      <alignment vertical="center"/>
    </xf>
    <xf numFmtId="0" fontId="20" fillId="0" borderId="0" xfId="3" applyFont="1" applyAlignment="1">
      <alignment vertical="center" wrapText="1"/>
    </xf>
    <xf numFmtId="0" fontId="20" fillId="0" borderId="17" xfId="3" applyFont="1" applyBorder="1" applyAlignment="1">
      <alignment vertical="center"/>
    </xf>
    <xf numFmtId="0" fontId="20" fillId="0" borderId="23" xfId="3" applyFont="1" applyBorder="1" applyAlignment="1">
      <alignment vertical="center"/>
    </xf>
    <xf numFmtId="0" fontId="20" fillId="0" borderId="55" xfId="3" applyFont="1" applyBorder="1" applyAlignment="1">
      <alignment vertical="center" wrapText="1"/>
    </xf>
    <xf numFmtId="0" fontId="20" fillId="0" borderId="17" xfId="3" applyFont="1" applyBorder="1" applyAlignment="1">
      <alignment vertical="center"/>
    </xf>
    <xf numFmtId="0" fontId="20" fillId="0" borderId="22" xfId="3" applyFont="1" applyBorder="1" applyAlignment="1">
      <alignment vertical="center" wrapText="1"/>
    </xf>
    <xf numFmtId="49" fontId="20" fillId="0" borderId="36" xfId="3" applyNumberFormat="1" applyFont="1" applyBorder="1" applyAlignment="1">
      <alignment vertical="center"/>
    </xf>
    <xf numFmtId="0" fontId="20" fillId="0" borderId="37" xfId="3" applyFont="1" applyBorder="1" applyAlignment="1">
      <alignment vertical="center"/>
    </xf>
    <xf numFmtId="0" fontId="20" fillId="0" borderId="38" xfId="3" applyFont="1" applyBorder="1" applyAlignment="1">
      <alignment vertical="center"/>
    </xf>
    <xf numFmtId="0" fontId="20" fillId="0" borderId="39" xfId="3" applyFont="1" applyBorder="1" applyAlignment="1">
      <alignment vertical="center"/>
    </xf>
    <xf numFmtId="0" fontId="20" fillId="0" borderId="40" xfId="3" applyFont="1" applyBorder="1" applyAlignment="1">
      <alignment vertical="center"/>
    </xf>
    <xf numFmtId="0" fontId="20" fillId="0" borderId="40" xfId="3" applyFont="1" applyBorder="1" applyAlignment="1">
      <alignment vertical="center" wrapText="1"/>
    </xf>
    <xf numFmtId="0" fontId="20" fillId="0" borderId="5" xfId="3" applyFont="1" applyBorder="1" applyAlignment="1">
      <alignment vertical="center"/>
    </xf>
    <xf numFmtId="0" fontId="20" fillId="0" borderId="47" xfId="3" applyFont="1" applyBorder="1" applyAlignment="1">
      <alignment vertical="center"/>
    </xf>
    <xf numFmtId="49" fontId="20" fillId="0" borderId="42" xfId="3" applyNumberFormat="1" applyFont="1" applyBorder="1" applyAlignment="1">
      <alignment vertical="center"/>
    </xf>
    <xf numFmtId="0" fontId="20" fillId="0" borderId="44" xfId="3" applyFont="1" applyBorder="1" applyAlignment="1">
      <alignment vertical="center"/>
    </xf>
    <xf numFmtId="0" fontId="20" fillId="0" borderId="45" xfId="3" applyFont="1" applyBorder="1" applyAlignment="1">
      <alignment vertical="center"/>
    </xf>
    <xf numFmtId="0" fontId="20" fillId="0" borderId="43" xfId="3" applyFont="1" applyBorder="1" applyAlignment="1">
      <alignment vertical="center"/>
    </xf>
    <xf numFmtId="0" fontId="20" fillId="0" borderId="43" xfId="3" applyFont="1" applyBorder="1" applyAlignment="1">
      <alignment vertical="center" wrapText="1"/>
    </xf>
    <xf numFmtId="0" fontId="20" fillId="0" borderId="48" xfId="3" applyFont="1" applyBorder="1" applyAlignment="1">
      <alignment vertical="center"/>
    </xf>
    <xf numFmtId="0" fontId="20" fillId="0" borderId="49" xfId="3" applyFont="1" applyBorder="1" applyAlignment="1">
      <alignment vertical="center"/>
    </xf>
    <xf numFmtId="49" fontId="20" fillId="0" borderId="25" xfId="3" applyNumberFormat="1" applyFont="1" applyBorder="1" applyAlignment="1">
      <alignment vertical="center"/>
    </xf>
    <xf numFmtId="0" fontId="20" fillId="0" borderId="29" xfId="3" applyFont="1" applyBorder="1" applyAlignment="1">
      <alignment vertical="center"/>
    </xf>
    <xf numFmtId="0" fontId="20" fillId="0" borderId="50" xfId="3" applyFont="1" applyBorder="1" applyAlignment="1">
      <alignment vertical="center"/>
    </xf>
    <xf numFmtId="0" fontId="20" fillId="0" borderId="2" xfId="0" applyFont="1" applyBorder="1">
      <alignment vertical="center"/>
    </xf>
    <xf numFmtId="0" fontId="20" fillId="0" borderId="17" xfId="0" applyFont="1" applyBorder="1">
      <alignment vertical="center"/>
    </xf>
    <xf numFmtId="49" fontId="20" fillId="0" borderId="29" xfId="3" applyNumberFormat="1" applyFont="1" applyBorder="1" applyAlignment="1">
      <alignment horizontal="left" vertical="center"/>
    </xf>
    <xf numFmtId="0" fontId="20" fillId="0" borderId="29" xfId="3" applyFont="1" applyBorder="1" applyAlignment="1">
      <alignment horizontal="left" vertical="center"/>
    </xf>
    <xf numFmtId="49" fontId="20" fillId="0" borderId="17" xfId="3" applyNumberFormat="1" applyFont="1" applyBorder="1" applyAlignment="1">
      <alignment horizontal="left" vertical="center"/>
    </xf>
    <xf numFmtId="0" fontId="20" fillId="0" borderId="6" xfId="3" applyFont="1" applyBorder="1" applyAlignment="1">
      <alignment vertical="center" wrapText="1"/>
    </xf>
    <xf numFmtId="0" fontId="20" fillId="0" borderId="33" xfId="3" applyFont="1" applyBorder="1" applyAlignment="1">
      <alignment vertical="center" wrapText="1"/>
    </xf>
    <xf numFmtId="0" fontId="20" fillId="0" borderId="73" xfId="3" applyFont="1" applyBorder="1" applyAlignment="1">
      <alignment vertical="center" wrapText="1"/>
    </xf>
    <xf numFmtId="49" fontId="20" fillId="0" borderId="73" xfId="3" applyNumberFormat="1" applyFont="1" applyBorder="1" applyAlignment="1">
      <alignment horizontal="left" vertical="center"/>
    </xf>
    <xf numFmtId="0" fontId="20" fillId="0" borderId="73" xfId="3" applyFont="1" applyBorder="1" applyAlignment="1">
      <alignment horizontal="center" vertical="center"/>
    </xf>
    <xf numFmtId="0" fontId="20" fillId="0" borderId="73" xfId="3" applyFont="1" applyBorder="1" applyAlignment="1">
      <alignment horizontal="right" vertical="center"/>
    </xf>
    <xf numFmtId="0" fontId="20" fillId="0" borderId="37" xfId="3" applyFont="1" applyBorder="1" applyAlignment="1">
      <alignment horizontal="right" vertical="center"/>
    </xf>
    <xf numFmtId="0" fontId="20" fillId="0" borderId="29" xfId="3" applyFont="1" applyBorder="1" applyAlignment="1">
      <alignment horizontal="left" vertical="center"/>
    </xf>
    <xf numFmtId="0" fontId="20" fillId="0" borderId="29" xfId="3" applyFont="1" applyBorder="1" applyAlignment="1">
      <alignment horizontal="left" vertical="center" wrapText="1"/>
    </xf>
    <xf numFmtId="0" fontId="20" fillId="0" borderId="73" xfId="3" applyFont="1" applyBorder="1" applyAlignment="1">
      <alignment vertical="center"/>
    </xf>
    <xf numFmtId="0" fontId="20" fillId="0" borderId="24" xfId="3" applyFont="1" applyBorder="1" applyAlignment="1">
      <alignment vertical="center"/>
    </xf>
    <xf numFmtId="0" fontId="20" fillId="0" borderId="74" xfId="3" applyFont="1" applyBorder="1" applyAlignment="1">
      <alignment vertical="center" wrapText="1"/>
    </xf>
    <xf numFmtId="0" fontId="20" fillId="0" borderId="74" xfId="3" applyFont="1" applyBorder="1" applyAlignment="1">
      <alignment horizontal="center" vertical="center" wrapText="1"/>
    </xf>
    <xf numFmtId="0" fontId="24" fillId="11" borderId="0" xfId="0" applyFont="1" applyFill="1">
      <alignment vertical="center"/>
    </xf>
    <xf numFmtId="0" fontId="24" fillId="11" borderId="4" xfId="0" applyFont="1" applyFill="1" applyBorder="1">
      <alignment vertical="center"/>
    </xf>
    <xf numFmtId="0" fontId="24" fillId="11" borderId="57" xfId="0" applyFont="1" applyFill="1" applyBorder="1">
      <alignment vertical="center"/>
    </xf>
    <xf numFmtId="0" fontId="9" fillId="11" borderId="1" xfId="0" applyFont="1" applyFill="1" applyBorder="1">
      <alignment vertical="center"/>
    </xf>
    <xf numFmtId="0" fontId="27" fillId="12" borderId="1" xfId="0" applyFont="1" applyFill="1" applyBorder="1" applyAlignment="1">
      <alignment vertical="center" wrapText="1"/>
    </xf>
    <xf numFmtId="0" fontId="27" fillId="12" borderId="14" xfId="0" applyFont="1" applyFill="1" applyBorder="1" applyAlignment="1">
      <alignment vertical="center" wrapText="1"/>
    </xf>
    <xf numFmtId="0" fontId="27" fillId="12" borderId="20" xfId="0" applyFont="1" applyFill="1" applyBorder="1" applyAlignment="1">
      <alignment vertical="center" wrapText="1"/>
    </xf>
    <xf numFmtId="0" fontId="27" fillId="12" borderId="57" xfId="0" applyFont="1" applyFill="1" applyBorder="1">
      <alignment vertical="center"/>
    </xf>
    <xf numFmtId="0" fontId="9" fillId="12" borderId="1" xfId="0" applyFont="1" applyFill="1" applyBorder="1">
      <alignment vertical="center"/>
    </xf>
    <xf numFmtId="0" fontId="27" fillId="7" borderId="4" xfId="0" applyFont="1" applyFill="1" applyBorder="1" applyAlignment="1">
      <alignment vertical="center" wrapText="1"/>
    </xf>
    <xf numFmtId="0" fontId="27" fillId="0" borderId="20" xfId="0" applyFont="1" applyBorder="1" applyAlignment="1">
      <alignment vertical="center" wrapText="1"/>
    </xf>
    <xf numFmtId="0" fontId="27" fillId="0" borderId="50" xfId="0" applyFont="1" applyBorder="1" applyAlignment="1">
      <alignment vertical="center" wrapText="1"/>
    </xf>
    <xf numFmtId="0" fontId="27" fillId="0" borderId="58" xfId="0" applyFont="1" applyBorder="1" applyAlignment="1">
      <alignment vertical="center" wrapText="1"/>
    </xf>
    <xf numFmtId="0" fontId="9" fillId="0" borderId="1" xfId="0" applyFont="1" applyBorder="1">
      <alignment vertical="center"/>
    </xf>
    <xf numFmtId="0" fontId="27" fillId="0" borderId="31" xfId="0" applyFont="1" applyBorder="1" applyAlignment="1">
      <alignment vertical="center" wrapText="1"/>
    </xf>
    <xf numFmtId="0" fontId="27" fillId="0" borderId="9" xfId="0" applyFont="1" applyBorder="1" applyAlignment="1">
      <alignment vertical="center" wrapText="1"/>
    </xf>
    <xf numFmtId="0" fontId="27" fillId="0" borderId="32" xfId="0" applyFont="1" applyBorder="1" applyAlignment="1">
      <alignment vertical="center" wrapText="1"/>
    </xf>
    <xf numFmtId="0" fontId="27" fillId="0" borderId="0" xfId="0" applyFont="1" applyAlignment="1">
      <alignment vertical="center" wrapText="1"/>
    </xf>
    <xf numFmtId="0" fontId="9" fillId="0" borderId="21" xfId="0" applyFont="1" applyBorder="1" applyAlignment="1">
      <alignment vertical="center" wrapText="1"/>
    </xf>
    <xf numFmtId="0" fontId="27" fillId="0" borderId="62" xfId="0" applyFont="1" applyBorder="1" applyAlignment="1">
      <alignment vertical="center" wrapText="1"/>
    </xf>
    <xf numFmtId="0" fontId="27" fillId="0" borderId="57" xfId="0" applyFont="1" applyBorder="1" applyAlignment="1">
      <alignment vertical="center" wrapText="1"/>
    </xf>
    <xf numFmtId="0" fontId="27" fillId="0" borderId="5" xfId="0" applyFont="1" applyBorder="1" applyAlignment="1">
      <alignment vertical="center" wrapText="1"/>
    </xf>
    <xf numFmtId="0" fontId="27" fillId="0" borderId="6" xfId="0" applyFont="1" applyBorder="1" applyAlignment="1">
      <alignment vertical="center" wrapText="1"/>
    </xf>
    <xf numFmtId="0" fontId="27" fillId="14" borderId="20" xfId="0" applyFont="1" applyFill="1" applyBorder="1" applyAlignment="1">
      <alignment vertical="center" wrapText="1"/>
    </xf>
    <xf numFmtId="0" fontId="27" fillId="14" borderId="31" xfId="0" applyFont="1" applyFill="1" applyBorder="1" applyAlignment="1">
      <alignment vertical="center" wrapText="1"/>
    </xf>
    <xf numFmtId="0" fontId="27" fillId="14" borderId="9" xfId="0" applyFont="1" applyFill="1" applyBorder="1" applyAlignment="1">
      <alignment vertical="center" wrapText="1"/>
    </xf>
    <xf numFmtId="0" fontId="9" fillId="0" borderId="0" xfId="0" applyFont="1">
      <alignment vertical="center"/>
    </xf>
    <xf numFmtId="0" fontId="9" fillId="0" borderId="9" xfId="0" applyFont="1" applyBorder="1">
      <alignment vertical="center"/>
    </xf>
    <xf numFmtId="0" fontId="20" fillId="0" borderId="0" xfId="0" applyFont="1">
      <alignment vertical="center"/>
    </xf>
    <xf numFmtId="0" fontId="27" fillId="9" borderId="4" xfId="0" applyFont="1" applyFill="1" applyBorder="1" applyAlignment="1">
      <alignment vertical="center" wrapText="1"/>
    </xf>
    <xf numFmtId="0" fontId="29" fillId="0" borderId="20" xfId="0" applyFont="1" applyBorder="1" applyAlignment="1">
      <alignment vertical="center" wrapText="1"/>
    </xf>
    <xf numFmtId="0" fontId="30" fillId="0" borderId="20" xfId="0" applyFont="1" applyBorder="1" applyAlignment="1">
      <alignment vertical="center" wrapText="1"/>
    </xf>
    <xf numFmtId="0" fontId="30" fillId="0" borderId="57" xfId="0" applyFont="1" applyBorder="1" applyAlignment="1">
      <alignment vertical="center" wrapText="1"/>
    </xf>
    <xf numFmtId="0" fontId="24" fillId="11" borderId="20" xfId="0" applyFont="1" applyFill="1" applyBorder="1">
      <alignment vertical="center"/>
    </xf>
    <xf numFmtId="0" fontId="27" fillId="12" borderId="20" xfId="0" applyFont="1" applyFill="1" applyBorder="1">
      <alignment vertical="center"/>
    </xf>
    <xf numFmtId="0" fontId="27" fillId="8" borderId="4" xfId="0" applyFont="1" applyFill="1" applyBorder="1" applyAlignment="1">
      <alignment vertical="center" wrapText="1"/>
    </xf>
    <xf numFmtId="0" fontId="27" fillId="15" borderId="20" xfId="0" applyFont="1" applyFill="1" applyBorder="1" applyAlignment="1">
      <alignment vertical="center" wrapText="1"/>
    </xf>
    <xf numFmtId="0" fontId="27" fillId="15" borderId="31" xfId="0" applyFont="1" applyFill="1" applyBorder="1" applyAlignment="1">
      <alignment vertical="center" wrapText="1"/>
    </xf>
    <xf numFmtId="0" fontId="9" fillId="15" borderId="57" xfId="0" applyFont="1" applyFill="1" applyBorder="1">
      <alignment vertical="center"/>
    </xf>
    <xf numFmtId="0" fontId="9" fillId="15" borderId="6" xfId="0" applyFont="1" applyFill="1" applyBorder="1">
      <alignment vertical="center"/>
    </xf>
    <xf numFmtId="0" fontId="27" fillId="15" borderId="57" xfId="0" applyFont="1" applyFill="1" applyBorder="1" applyAlignment="1">
      <alignment vertical="center" wrapText="1"/>
    </xf>
    <xf numFmtId="0" fontId="27" fillId="15" borderId="6" xfId="0" applyFont="1" applyFill="1" applyBorder="1" applyAlignment="1">
      <alignment vertical="center" wrapText="1"/>
    </xf>
    <xf numFmtId="0" fontId="9" fillId="0" borderId="20" xfId="0" applyFont="1" applyBorder="1" applyAlignment="1">
      <alignment vertical="center" wrapText="1"/>
    </xf>
    <xf numFmtId="0" fontId="9" fillId="0" borderId="12" xfId="0" applyFont="1" applyBorder="1">
      <alignment vertical="center"/>
    </xf>
    <xf numFmtId="0" fontId="31" fillId="0" borderId="5" xfId="0" applyFont="1" applyBorder="1">
      <alignment vertical="center"/>
    </xf>
    <xf numFmtId="0" fontId="27" fillId="13" borderId="20" xfId="0" applyFont="1" applyFill="1" applyBorder="1" applyAlignment="1">
      <alignment vertical="center" wrapText="1"/>
    </xf>
    <xf numFmtId="0" fontId="27" fillId="13" borderId="57" xfId="0" applyFont="1" applyFill="1" applyBorder="1" applyAlignment="1">
      <alignment vertical="center" wrapText="1"/>
    </xf>
    <xf numFmtId="0" fontId="27" fillId="13" borderId="6" xfId="0" applyFont="1" applyFill="1" applyBorder="1" applyAlignment="1">
      <alignment vertical="center" wrapText="1"/>
    </xf>
    <xf numFmtId="0" fontId="27" fillId="8" borderId="49" xfId="0" applyFont="1" applyFill="1" applyBorder="1" applyAlignment="1">
      <alignment vertical="center" wrapText="1"/>
    </xf>
    <xf numFmtId="0" fontId="27" fillId="15" borderId="5" xfId="0" applyFont="1" applyFill="1" applyBorder="1" applyAlignment="1">
      <alignment vertical="center" wrapText="1"/>
    </xf>
    <xf numFmtId="0" fontId="27" fillId="0" borderId="1" xfId="0" applyFont="1" applyBorder="1">
      <alignment vertical="center"/>
    </xf>
    <xf numFmtId="0" fontId="27" fillId="8" borderId="6" xfId="0" applyFont="1" applyFill="1" applyBorder="1" applyAlignment="1">
      <alignment vertical="center" wrapText="1"/>
    </xf>
    <xf numFmtId="0" fontId="27" fillId="8" borderId="7" xfId="0" applyFont="1" applyFill="1" applyBorder="1" applyAlignment="1">
      <alignment vertical="center" wrapText="1"/>
    </xf>
    <xf numFmtId="0" fontId="9" fillId="0" borderId="32" xfId="0" applyFont="1" applyBorder="1" applyAlignment="1">
      <alignment vertical="center" wrapText="1"/>
    </xf>
    <xf numFmtId="0" fontId="27" fillId="8" borderId="8" xfId="0" applyFont="1" applyFill="1" applyBorder="1" applyAlignment="1">
      <alignment vertical="center" wrapText="1"/>
    </xf>
    <xf numFmtId="0" fontId="9" fillId="0" borderId="59" xfId="0" applyFont="1" applyBorder="1" applyAlignment="1">
      <alignment vertical="center" wrapText="1"/>
    </xf>
    <xf numFmtId="0" fontId="27" fillId="0" borderId="59" xfId="0" applyFont="1" applyBorder="1" applyAlignment="1">
      <alignment vertical="center" wrapText="1"/>
    </xf>
    <xf numFmtId="0" fontId="27" fillId="15" borderId="13" xfId="0" applyFont="1" applyFill="1" applyBorder="1" applyAlignment="1">
      <alignment vertical="center" wrapText="1"/>
    </xf>
    <xf numFmtId="0" fontId="31" fillId="0" borderId="0" xfId="0" applyFont="1">
      <alignment vertical="center"/>
    </xf>
    <xf numFmtId="0" fontId="9" fillId="11" borderId="5" xfId="0" applyFont="1" applyFill="1" applyBorder="1">
      <alignment vertical="center"/>
    </xf>
    <xf numFmtId="0" fontId="9" fillId="11" borderId="47" xfId="0" applyFont="1" applyFill="1" applyBorder="1">
      <alignment vertical="center"/>
    </xf>
    <xf numFmtId="0" fontId="9" fillId="12" borderId="5" xfId="0" applyFont="1" applyFill="1" applyBorder="1">
      <alignment vertical="center"/>
    </xf>
    <xf numFmtId="0" fontId="9" fillId="12" borderId="47" xfId="0" applyFont="1" applyFill="1" applyBorder="1">
      <alignment vertical="center"/>
    </xf>
    <xf numFmtId="0" fontId="9" fillId="0" borderId="6" xfId="0" applyFont="1" applyBorder="1">
      <alignment vertical="center"/>
    </xf>
    <xf numFmtId="0" fontId="9" fillId="0" borderId="28" xfId="0" applyFont="1" applyBorder="1">
      <alignment vertical="center"/>
    </xf>
    <xf numFmtId="0" fontId="9" fillId="8" borderId="4" xfId="0" applyFont="1" applyFill="1" applyBorder="1">
      <alignment vertical="center"/>
    </xf>
    <xf numFmtId="0" fontId="32" fillId="15" borderId="20" xfId="0" applyFont="1" applyFill="1" applyBorder="1" applyAlignment="1">
      <alignment vertical="center" wrapText="1"/>
    </xf>
    <xf numFmtId="0" fontId="9" fillId="13" borderId="28" xfId="0" applyFont="1" applyFill="1" applyBorder="1">
      <alignment vertical="center"/>
    </xf>
    <xf numFmtId="0" fontId="27" fillId="0" borderId="66" xfId="0" applyFont="1" applyBorder="1" applyAlignment="1">
      <alignment vertical="center" wrapText="1"/>
    </xf>
    <xf numFmtId="0" fontId="27" fillId="0" borderId="56" xfId="0" applyFont="1" applyBorder="1" applyAlignment="1">
      <alignment vertical="center" wrapText="1"/>
    </xf>
    <xf numFmtId="0" fontId="9" fillId="0" borderId="7" xfId="0" applyFont="1" applyBorder="1">
      <alignment vertical="center"/>
    </xf>
    <xf numFmtId="0" fontId="9" fillId="0" borderId="33" xfId="0" applyFont="1" applyBorder="1">
      <alignment vertical="center"/>
    </xf>
    <xf numFmtId="0" fontId="9" fillId="0" borderId="5" xfId="0" applyFont="1" applyBorder="1">
      <alignment vertical="center"/>
    </xf>
    <xf numFmtId="0" fontId="9" fillId="0" borderId="58" xfId="0" applyFont="1" applyBorder="1" applyAlignment="1">
      <alignment vertical="center" wrapText="1"/>
    </xf>
    <xf numFmtId="0" fontId="9" fillId="0" borderId="60" xfId="0" applyFont="1" applyBorder="1">
      <alignment vertical="center"/>
    </xf>
    <xf numFmtId="0" fontId="9" fillId="0" borderId="65" xfId="0" applyFont="1" applyBorder="1">
      <alignment vertical="center"/>
    </xf>
    <xf numFmtId="0" fontId="27" fillId="8" borderId="17" xfId="0" applyFont="1" applyFill="1" applyBorder="1" applyAlignment="1">
      <alignment vertical="center" wrapText="1"/>
    </xf>
    <xf numFmtId="0" fontId="27" fillId="15" borderId="39" xfId="0" applyFont="1" applyFill="1" applyBorder="1" applyAlignment="1">
      <alignment vertical="center" wrapText="1"/>
    </xf>
    <xf numFmtId="0" fontId="27" fillId="15" borderId="35" xfId="0" applyFont="1" applyFill="1" applyBorder="1" applyAlignment="1">
      <alignment vertical="center" wrapText="1"/>
    </xf>
    <xf numFmtId="0" fontId="9" fillId="0" borderId="61" xfId="0" applyFont="1" applyBorder="1">
      <alignment vertical="center"/>
    </xf>
    <xf numFmtId="0" fontId="9" fillId="0" borderId="63" xfId="0" applyFont="1" applyBorder="1">
      <alignment vertical="center"/>
    </xf>
    <xf numFmtId="0" fontId="9" fillId="0" borderId="31" xfId="0" applyFont="1" applyBorder="1">
      <alignment vertical="center"/>
    </xf>
    <xf numFmtId="0" fontId="9" fillId="0" borderId="64" xfId="0" applyFont="1" applyBorder="1">
      <alignment vertical="center"/>
    </xf>
    <xf numFmtId="0" fontId="27" fillId="0" borderId="4" xfId="0" applyFont="1" applyBorder="1" applyAlignment="1">
      <alignment vertical="center" wrapText="1"/>
    </xf>
    <xf numFmtId="0" fontId="27" fillId="10" borderId="4" xfId="0" applyFont="1" applyFill="1" applyBorder="1" applyAlignment="1">
      <alignment vertical="center" wrapText="1"/>
    </xf>
    <xf numFmtId="0" fontId="27" fillId="15" borderId="17" xfId="0" applyFont="1" applyFill="1" applyBorder="1" applyAlignment="1">
      <alignment vertical="center" wrapText="1"/>
    </xf>
    <xf numFmtId="0" fontId="9" fillId="0" borderId="26" xfId="0" applyFont="1" applyBorder="1">
      <alignment vertical="center"/>
    </xf>
    <xf numFmtId="0" fontId="22" fillId="0" borderId="4" xfId="3" applyFont="1" applyBorder="1" applyAlignment="1">
      <alignment vertical="center"/>
    </xf>
    <xf numFmtId="0" fontId="19" fillId="2" borderId="1" xfId="2" applyFont="1" applyBorder="1" applyAlignment="1">
      <alignment vertical="center" wrapText="1"/>
    </xf>
    <xf numFmtId="0" fontId="31" fillId="0" borderId="3" xfId="0" applyFont="1" applyBorder="1">
      <alignment vertical="center"/>
    </xf>
    <xf numFmtId="0" fontId="31" fillId="0" borderId="3" xfId="0" applyFont="1" applyBorder="1" applyAlignment="1">
      <alignment horizontal="left" vertical="center"/>
    </xf>
    <xf numFmtId="0" fontId="20" fillId="0" borderId="1" xfId="0" applyFont="1" applyBorder="1" applyAlignment="1">
      <alignment horizontal="left" vertical="center"/>
    </xf>
    <xf numFmtId="0" fontId="31" fillId="0" borderId="1" xfId="0" applyFont="1" applyBorder="1" applyAlignment="1">
      <alignment horizontal="left" vertical="center"/>
    </xf>
    <xf numFmtId="0" fontId="33" fillId="0" borderId="3" xfId="0" applyFont="1" applyBorder="1">
      <alignment vertical="center"/>
    </xf>
    <xf numFmtId="0" fontId="31" fillId="0" borderId="2" xfId="0" applyFont="1" applyBorder="1">
      <alignment vertical="center"/>
    </xf>
    <xf numFmtId="0" fontId="31" fillId="0" borderId="3" xfId="0" applyFont="1" applyBorder="1">
      <alignment vertical="center"/>
    </xf>
    <xf numFmtId="0" fontId="31" fillId="0" borderId="1" xfId="0" applyFont="1" applyBorder="1">
      <alignment vertical="center"/>
    </xf>
    <xf numFmtId="0" fontId="31" fillId="0" borderId="25" xfId="0" applyFont="1" applyBorder="1">
      <alignment vertical="center"/>
    </xf>
    <xf numFmtId="0" fontId="31" fillId="0" borderId="25" xfId="0" applyFont="1" applyBorder="1" applyAlignment="1">
      <alignment horizontal="left" vertical="center"/>
    </xf>
    <xf numFmtId="49" fontId="20" fillId="0" borderId="25" xfId="0" applyNumberFormat="1" applyFont="1" applyBorder="1" applyAlignment="1">
      <alignment horizontal="left" vertical="center"/>
    </xf>
    <xf numFmtId="0" fontId="20" fillId="0" borderId="25" xfId="0" applyFont="1" applyBorder="1" applyAlignment="1">
      <alignment horizontal="left" vertical="center"/>
    </xf>
    <xf numFmtId="0" fontId="22" fillId="0" borderId="25" xfId="0" applyFont="1" applyBorder="1">
      <alignment vertical="center"/>
    </xf>
    <xf numFmtId="0" fontId="31" fillId="0" borderId="29" xfId="0" applyFont="1" applyBorder="1">
      <alignment vertical="center"/>
    </xf>
    <xf numFmtId="0" fontId="31" fillId="0" borderId="2" xfId="0" applyFont="1" applyBorder="1" applyAlignment="1">
      <alignment horizontal="left" vertical="center"/>
    </xf>
    <xf numFmtId="0" fontId="20" fillId="0" borderId="4" xfId="0" applyFont="1" applyBorder="1" applyAlignment="1">
      <alignment horizontal="left" vertical="center"/>
    </xf>
    <xf numFmtId="0" fontId="31" fillId="0" borderId="4" xfId="0" applyFont="1" applyBorder="1" applyAlignment="1">
      <alignment horizontal="left" vertical="center"/>
    </xf>
    <xf numFmtId="0" fontId="31" fillId="0" borderId="54" xfId="0" applyFont="1" applyBorder="1" applyAlignment="1">
      <alignment horizontal="left" vertical="center"/>
    </xf>
    <xf numFmtId="0" fontId="20" fillId="0" borderId="22" xfId="0" applyFont="1" applyBorder="1" applyAlignment="1">
      <alignment horizontal="left" vertical="center"/>
    </xf>
    <xf numFmtId="0" fontId="31" fillId="0" borderId="22" xfId="0" applyFont="1" applyBorder="1" applyAlignment="1">
      <alignment horizontal="left" vertical="center"/>
    </xf>
    <xf numFmtId="0" fontId="31" fillId="0" borderId="22" xfId="0" applyFont="1" applyBorder="1">
      <alignment vertical="center"/>
    </xf>
    <xf numFmtId="0" fontId="31" fillId="0" borderId="18" xfId="0" applyFont="1" applyBorder="1" applyAlignment="1">
      <alignment horizontal="left" vertical="center"/>
    </xf>
    <xf numFmtId="0" fontId="20" fillId="0" borderId="25" xfId="0" applyFont="1" applyBorder="1">
      <alignment vertical="center"/>
    </xf>
    <xf numFmtId="0" fontId="20" fillId="3" borderId="17" xfId="0" applyFont="1" applyFill="1" applyBorder="1" applyAlignment="1">
      <alignment vertical="center" wrapText="1"/>
    </xf>
    <xf numFmtId="0" fontId="20" fillId="0" borderId="4" xfId="0" applyFont="1" applyBorder="1">
      <alignment vertical="center"/>
    </xf>
    <xf numFmtId="49" fontId="31" fillId="0" borderId="4" xfId="0" applyNumberFormat="1" applyFont="1" applyBorder="1" applyAlignment="1">
      <alignment horizontal="left" vertical="center"/>
    </xf>
    <xf numFmtId="49" fontId="31" fillId="0" borderId="0" xfId="0" applyNumberFormat="1" applyFont="1" applyAlignment="1">
      <alignment horizontal="left" vertical="center"/>
    </xf>
    <xf numFmtId="177" fontId="20" fillId="0" borderId="1" xfId="0" applyNumberFormat="1" applyFont="1" applyBorder="1" applyAlignment="1">
      <alignment horizontal="left" vertical="center" wrapText="1"/>
    </xf>
    <xf numFmtId="0" fontId="35" fillId="0" borderId="1" xfId="0" applyFont="1" applyBorder="1" applyAlignment="1">
      <alignment vertical="center" wrapText="1"/>
    </xf>
    <xf numFmtId="49" fontId="22" fillId="0" borderId="1" xfId="0" applyNumberFormat="1" applyFont="1" applyBorder="1" applyAlignment="1">
      <alignment vertical="center" wrapText="1"/>
    </xf>
    <xf numFmtId="176" fontId="22" fillId="0" borderId="1" xfId="0" applyNumberFormat="1" applyFont="1" applyBorder="1" applyAlignment="1">
      <alignment vertical="center" wrapText="1"/>
    </xf>
    <xf numFmtId="49" fontId="31" fillId="0" borderId="1" xfId="0" applyNumberFormat="1" applyFont="1" applyBorder="1" applyAlignment="1">
      <alignment vertical="center" wrapText="1"/>
    </xf>
    <xf numFmtId="176" fontId="20" fillId="3" borderId="1" xfId="0" applyNumberFormat="1" applyFont="1" applyFill="1" applyBorder="1" applyAlignment="1">
      <alignment vertical="center" wrapText="1"/>
    </xf>
    <xf numFmtId="0" fontId="20" fillId="3" borderId="1" xfId="0" applyFont="1" applyFill="1" applyBorder="1" applyAlignment="1">
      <alignment vertical="center" wrapText="1"/>
    </xf>
  </cellXfs>
  <cellStyles count="4">
    <cellStyle name="Hyperlink" xfId="1" xr:uid="{00000000-000B-0000-0000-000008000000}"/>
    <cellStyle name="一般" xfId="0" builtinId="0"/>
    <cellStyle name="一般 2" xfId="3" xr:uid="{13772882-4B88-4CDA-A30D-ACC051A08DA9}"/>
    <cellStyle name="好" xfId="2"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390525</xdr:colOff>
      <xdr:row>2</xdr:row>
      <xdr:rowOff>38873</xdr:rowOff>
    </xdr:from>
    <xdr:to>
      <xdr:col>17</xdr:col>
      <xdr:colOff>305963</xdr:colOff>
      <xdr:row>21</xdr:row>
      <xdr:rowOff>257991</xdr:rowOff>
    </xdr:to>
    <xdr:pic>
      <xdr:nvPicPr>
        <xdr:cNvPr id="4" name="圖片 3">
          <a:extLst>
            <a:ext uri="{FF2B5EF4-FFF2-40B4-BE49-F238E27FC236}">
              <a16:creationId xmlns:a16="http://schemas.microsoft.com/office/drawing/2014/main" id="{A7961646-A2C4-C59A-195E-4A43A8A99A43}"/>
            </a:ext>
          </a:extLst>
        </xdr:cNvPr>
        <xdr:cNvPicPr>
          <a:picLocks noChangeAspect="1"/>
        </xdr:cNvPicPr>
      </xdr:nvPicPr>
      <xdr:blipFill>
        <a:blip xmlns:r="http://schemas.openxmlformats.org/officeDocument/2006/relationships" r:embed="rId1"/>
        <a:stretch>
          <a:fillRect/>
        </a:stretch>
      </xdr:blipFill>
      <xdr:spPr>
        <a:xfrm>
          <a:off x="6477000" y="543698"/>
          <a:ext cx="6773438" cy="4753018"/>
        </a:xfrm>
        <a:prstGeom prst="rect">
          <a:avLst/>
        </a:prstGeom>
        <a:ln>
          <a:solidFill>
            <a:sysClr val="windowText" lastClr="000000"/>
          </a:solidFill>
        </a:ln>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G26"/>
  <sheetViews>
    <sheetView zoomScaleNormal="100" workbookViewId="0">
      <selection activeCell="W9" sqref="W9"/>
    </sheetView>
  </sheetViews>
  <sheetFormatPr defaultColWidth="9" defaultRowHeight="18.75" x14ac:dyDescent="0.25"/>
  <cols>
    <col min="1" max="1" width="18.125" style="1" customWidth="1"/>
    <col min="2" max="2" width="10.5" style="1" customWidth="1"/>
    <col min="3" max="3" width="9.625" style="1" customWidth="1"/>
    <col min="4" max="4" width="10.125" style="1" customWidth="1"/>
    <col min="5" max="5" width="10.375" style="1" customWidth="1"/>
    <col min="6" max="6" width="12.125" style="1" customWidth="1"/>
    <col min="7" max="16384" width="9" style="1"/>
  </cols>
  <sheetData>
    <row r="1" spans="1:6" ht="21" x14ac:dyDescent="0.25">
      <c r="A1" s="59" t="s">
        <v>0</v>
      </c>
      <c r="B1" s="59"/>
      <c r="C1" s="59"/>
      <c r="D1" s="59"/>
      <c r="E1" s="59"/>
    </row>
    <row r="2" spans="1:6" x14ac:dyDescent="0.25">
      <c r="A2" s="10" t="s">
        <v>1</v>
      </c>
      <c r="B2" s="11">
        <v>1</v>
      </c>
    </row>
    <row r="4" spans="1:6" x14ac:dyDescent="0.25">
      <c r="A4" s="8" t="s">
        <v>2</v>
      </c>
      <c r="B4" s="8" t="s">
        <v>3</v>
      </c>
      <c r="C4" s="8" t="s">
        <v>4</v>
      </c>
      <c r="D4" s="8" t="s">
        <v>5</v>
      </c>
      <c r="E4" s="8" t="s">
        <v>6</v>
      </c>
      <c r="F4" s="8" t="s">
        <v>7</v>
      </c>
    </row>
    <row r="5" spans="1:6" x14ac:dyDescent="0.25">
      <c r="A5" s="2" t="s">
        <v>8</v>
      </c>
      <c r="B5" s="9">
        <v>0</v>
      </c>
      <c r="C5" s="2" t="str">
        <f>DEC2HEX(HEX2DEC(B6)-1)</f>
        <v>3DF</v>
      </c>
      <c r="D5" s="3">
        <f>F5/2</f>
        <v>992</v>
      </c>
      <c r="E5" s="2">
        <v>15872</v>
      </c>
      <c r="F5" s="2">
        <f>E5/8</f>
        <v>1984</v>
      </c>
    </row>
    <row r="6" spans="1:6" x14ac:dyDescent="0.25">
      <c r="A6" s="2" t="s">
        <v>9</v>
      </c>
      <c r="B6" s="2" t="str">
        <f>DEC2HEX(HEX2DEC(B5)+D5)</f>
        <v>3E0</v>
      </c>
      <c r="C6" s="2" t="str">
        <f t="shared" ref="C6" si="0">DEC2HEX(HEX2DEC(B7)-1)</f>
        <v>3FF</v>
      </c>
      <c r="D6" s="3">
        <f t="shared" ref="D6" si="1">F6/2</f>
        <v>32</v>
      </c>
      <c r="E6" s="2">
        <v>512</v>
      </c>
      <c r="F6" s="2">
        <f t="shared" ref="F6:F13" si="2">E6/8</f>
        <v>64</v>
      </c>
    </row>
    <row r="7" spans="1:6" x14ac:dyDescent="0.25">
      <c r="A7" s="2" t="s">
        <v>10</v>
      </c>
      <c r="B7" s="2" t="str">
        <f>DEC2HEX(HEX2DEC(B6)+D6)</f>
        <v>400</v>
      </c>
      <c r="C7" s="2" t="str">
        <f t="shared" ref="C7:C13" si="3">DEC2HEX(HEX2DEC(B8)-1)</f>
        <v>41F</v>
      </c>
      <c r="D7" s="3">
        <f t="shared" ref="D7:D13" si="4">F7/2</f>
        <v>32</v>
      </c>
      <c r="E7" s="2">
        <v>512</v>
      </c>
      <c r="F7" s="2">
        <f t="shared" si="2"/>
        <v>64</v>
      </c>
    </row>
    <row r="8" spans="1:6" x14ac:dyDescent="0.25">
      <c r="A8" s="2" t="s">
        <v>11</v>
      </c>
      <c r="B8" s="2" t="str">
        <f t="shared" ref="B8:B14" si="5">DEC2HEX(HEX2DEC(B7)+D7)</f>
        <v>420</v>
      </c>
      <c r="C8" s="2" t="str">
        <f t="shared" si="3"/>
        <v>42F</v>
      </c>
      <c r="D8" s="3">
        <f t="shared" si="4"/>
        <v>16</v>
      </c>
      <c r="E8" s="2">
        <v>256</v>
      </c>
      <c r="F8" s="2">
        <f t="shared" si="2"/>
        <v>32</v>
      </c>
    </row>
    <row r="9" spans="1:6" x14ac:dyDescent="0.25">
      <c r="A9" s="2" t="s">
        <v>12</v>
      </c>
      <c r="B9" s="2" t="str">
        <f t="shared" si="5"/>
        <v>430</v>
      </c>
      <c r="C9" s="2" t="str">
        <f t="shared" si="3"/>
        <v>43F</v>
      </c>
      <c r="D9" s="3">
        <f t="shared" si="4"/>
        <v>16</v>
      </c>
      <c r="E9" s="2">
        <v>256</v>
      </c>
      <c r="F9" s="2">
        <f t="shared" si="2"/>
        <v>32</v>
      </c>
    </row>
    <row r="10" spans="1:6" x14ac:dyDescent="0.25">
      <c r="A10" s="2" t="s">
        <v>13</v>
      </c>
      <c r="B10" s="2" t="str">
        <f t="shared" si="5"/>
        <v>440</v>
      </c>
      <c r="C10" s="2" t="str">
        <f t="shared" si="3"/>
        <v>FFF</v>
      </c>
      <c r="D10" s="3">
        <f t="shared" si="4"/>
        <v>3008</v>
      </c>
      <c r="E10" s="2">
        <v>48128</v>
      </c>
      <c r="F10" s="2">
        <f t="shared" si="2"/>
        <v>6016</v>
      </c>
    </row>
    <row r="11" spans="1:6" x14ac:dyDescent="0.25">
      <c r="A11" s="2" t="s">
        <v>14</v>
      </c>
      <c r="B11" s="2" t="str">
        <f t="shared" si="5"/>
        <v>1000</v>
      </c>
      <c r="C11" s="2" t="str">
        <f t="shared" si="3"/>
        <v>1BFF</v>
      </c>
      <c r="D11" s="3">
        <f t="shared" si="4"/>
        <v>3072</v>
      </c>
      <c r="E11" s="2">
        <v>49152</v>
      </c>
      <c r="F11" s="2">
        <f t="shared" si="2"/>
        <v>6144</v>
      </c>
    </row>
    <row r="12" spans="1:6" x14ac:dyDescent="0.25">
      <c r="A12" s="2" t="s">
        <v>15</v>
      </c>
      <c r="B12" s="2" t="str">
        <f t="shared" si="5"/>
        <v>1C00</v>
      </c>
      <c r="C12" s="2" t="str">
        <f t="shared" si="3"/>
        <v>1F7F</v>
      </c>
      <c r="D12" s="3">
        <f t="shared" si="4"/>
        <v>896</v>
      </c>
      <c r="E12" s="2">
        <v>14336</v>
      </c>
      <c r="F12" s="2">
        <f t="shared" si="2"/>
        <v>1792</v>
      </c>
    </row>
    <row r="13" spans="1:6" ht="19.5" thickBot="1" x14ac:dyDescent="0.3">
      <c r="A13" s="12" t="s">
        <v>16</v>
      </c>
      <c r="B13" s="6" t="str">
        <f t="shared" si="5"/>
        <v>1F80</v>
      </c>
      <c r="C13" s="6" t="str">
        <f t="shared" si="3"/>
        <v>1FFF</v>
      </c>
      <c r="D13" s="7">
        <f t="shared" si="4"/>
        <v>128</v>
      </c>
      <c r="E13" s="6">
        <v>2048</v>
      </c>
      <c r="F13" s="6">
        <f t="shared" si="2"/>
        <v>256</v>
      </c>
    </row>
    <row r="14" spans="1:6" x14ac:dyDescent="0.25">
      <c r="A14" s="2" t="s">
        <v>17</v>
      </c>
      <c r="B14" s="4" t="str">
        <f t="shared" si="5"/>
        <v>2000</v>
      </c>
      <c r="C14" s="4"/>
      <c r="D14" s="5">
        <f>SUM(D5:D13)</f>
        <v>8192</v>
      </c>
      <c r="E14" s="5">
        <f>SUM(E5:E13)</f>
        <v>131072</v>
      </c>
      <c r="F14" s="5">
        <f>SUM(F5:F13)</f>
        <v>16384</v>
      </c>
    </row>
    <row r="22" spans="1:7" ht="45.75" customHeight="1" x14ac:dyDescent="0.25">
      <c r="A22" s="60" t="s">
        <v>18</v>
      </c>
      <c r="B22" s="61"/>
      <c r="C22" s="61"/>
      <c r="D22" s="61"/>
      <c r="E22" s="61"/>
      <c r="F22" s="61"/>
      <c r="G22" s="62"/>
    </row>
    <row r="24" spans="1:7" ht="56.25" customHeight="1" x14ac:dyDescent="0.25">
      <c r="A24" s="63" t="s">
        <v>19</v>
      </c>
      <c r="B24" s="64"/>
      <c r="C24" s="64"/>
      <c r="D24" s="64"/>
      <c r="E24" s="64"/>
      <c r="F24" s="64"/>
      <c r="G24" s="65"/>
    </row>
    <row r="26" spans="1:7" ht="53.25" customHeight="1" x14ac:dyDescent="0.25">
      <c r="A26" s="66" t="s">
        <v>20</v>
      </c>
      <c r="B26" s="67"/>
      <c r="C26" s="67"/>
      <c r="D26" s="67"/>
      <c r="E26" s="67"/>
      <c r="F26" s="67"/>
      <c r="G26" s="68"/>
    </row>
  </sheetData>
  <mergeCells count="4">
    <mergeCell ref="A1:E1"/>
    <mergeCell ref="A22:G22"/>
    <mergeCell ref="A24:G24"/>
    <mergeCell ref="A26:G26"/>
  </mergeCells>
  <phoneticPr fontId="1" type="noConversion"/>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G4"/>
  <sheetViews>
    <sheetView tabSelected="1" zoomScaleNormal="100" workbookViewId="0">
      <pane ySplit="1" topLeftCell="A2" activePane="bottomLeft" state="frozen"/>
      <selection pane="bottomLeft" activeCell="E12" sqref="E12"/>
    </sheetView>
  </sheetViews>
  <sheetFormatPr defaultColWidth="9" defaultRowHeight="15.75" x14ac:dyDescent="0.25"/>
  <cols>
    <col min="1" max="1" width="16.375" style="82" customWidth="1"/>
    <col min="2" max="2" width="37" style="82" customWidth="1"/>
    <col min="3" max="4" width="10" style="82" customWidth="1"/>
    <col min="5" max="5" width="13.125" style="82" customWidth="1"/>
    <col min="6" max="6" width="67.375" style="82" customWidth="1"/>
    <col min="7" max="7" width="23.125" style="82" customWidth="1"/>
    <col min="8" max="16384" width="9" style="82"/>
  </cols>
  <sheetData>
    <row r="1" spans="1:7" s="76" customFormat="1" ht="37.5" x14ac:dyDescent="0.25">
      <c r="A1" s="75" t="s">
        <v>21</v>
      </c>
      <c r="B1" s="75" t="s">
        <v>22</v>
      </c>
      <c r="C1" s="75" t="s">
        <v>23</v>
      </c>
      <c r="D1" s="75" t="s">
        <v>24</v>
      </c>
      <c r="E1" s="75" t="s">
        <v>25</v>
      </c>
      <c r="F1" s="75" t="s">
        <v>26</v>
      </c>
      <c r="G1" s="75" t="s">
        <v>27</v>
      </c>
    </row>
    <row r="2" spans="1:7" ht="47.25" x14ac:dyDescent="0.25">
      <c r="A2" s="77" t="s">
        <v>28</v>
      </c>
      <c r="B2" s="78" t="s">
        <v>29</v>
      </c>
      <c r="C2" s="79">
        <v>15872</v>
      </c>
      <c r="D2" s="79">
        <f t="shared" ref="D2" si="0">QUOTIENT(C2+7,8)</f>
        <v>1984</v>
      </c>
      <c r="E2" s="79">
        <f t="shared" ref="E2" si="1">QUOTIENT(D2+1,2)</f>
        <v>992</v>
      </c>
      <c r="F2" s="80" t="s">
        <v>30</v>
      </c>
      <c r="G2" s="81" t="s">
        <v>31</v>
      </c>
    </row>
    <row r="3" spans="1:7" ht="19.5" customHeight="1" thickBot="1" x14ac:dyDescent="0.3">
      <c r="A3" s="83" t="str">
        <f>DEC2HEX(HEX2DEC(A2)+E2)</f>
        <v>3E0</v>
      </c>
      <c r="B3" s="84" t="s">
        <v>32</v>
      </c>
      <c r="C3" s="83">
        <f>SUM(C2:C2)</f>
        <v>15872</v>
      </c>
      <c r="D3" s="83">
        <f>SUM(D2:D2)</f>
        <v>1984</v>
      </c>
      <c r="E3" s="83">
        <f>SUM(E2:E2)</f>
        <v>992</v>
      </c>
      <c r="F3" s="83"/>
      <c r="G3" s="85"/>
    </row>
    <row r="4" spans="1:7" ht="17.25" hidden="1" customHeight="1" x14ac:dyDescent="0.25">
      <c r="A4" s="79" t="str">
        <f>DEC2HEX(E4)</f>
        <v>3E0</v>
      </c>
      <c r="B4" s="79" t="s">
        <v>33</v>
      </c>
      <c r="C4" s="79">
        <f>E3*16</f>
        <v>15872</v>
      </c>
      <c r="D4" s="79">
        <f t="shared" ref="D4" si="2">QUOTIENT(C4+7,8)</f>
        <v>1984</v>
      </c>
      <c r="E4" s="79">
        <f t="shared" ref="E4" si="3">QUOTIENT(D4+1,2)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3"/>
  <sheetViews>
    <sheetView zoomScaleNormal="100" workbookViewId="0">
      <pane ySplit="1" topLeftCell="A2" activePane="bottomLeft" state="frozen"/>
      <selection pane="bottomLeft" activeCell="B8" sqref="B8"/>
    </sheetView>
  </sheetViews>
  <sheetFormatPr defaultColWidth="9" defaultRowHeight="16.5" x14ac:dyDescent="0.25"/>
  <cols>
    <col min="1" max="1" width="16.375" style="14" customWidth="1"/>
    <col min="2" max="2" width="37" style="14" customWidth="1"/>
    <col min="3" max="4" width="10" style="14" customWidth="1"/>
    <col min="5" max="5" width="13.125" style="14" customWidth="1"/>
    <col min="6" max="6" width="71.125" style="14" customWidth="1"/>
    <col min="7" max="7" width="23.125" style="14" hidden="1" customWidth="1"/>
    <col min="8" max="8" width="54.25" style="14" hidden="1" customWidth="1"/>
    <col min="9" max="17" width="9" style="15"/>
    <col min="18" max="16384" width="9" style="14"/>
  </cols>
  <sheetData>
    <row r="1" spans="1:17" s="13" customFormat="1" ht="37.5" x14ac:dyDescent="0.25">
      <c r="A1" s="75" t="s">
        <v>21</v>
      </c>
      <c r="B1" s="75" t="s">
        <v>22</v>
      </c>
      <c r="C1" s="75" t="s">
        <v>23</v>
      </c>
      <c r="D1" s="75" t="s">
        <v>24</v>
      </c>
      <c r="E1" s="75" t="s">
        <v>25</v>
      </c>
      <c r="F1" s="75" t="s">
        <v>26</v>
      </c>
      <c r="G1" s="75" t="s">
        <v>27</v>
      </c>
      <c r="H1" s="75" t="s">
        <v>34</v>
      </c>
      <c r="I1" s="15"/>
      <c r="J1" s="15"/>
      <c r="K1" s="15"/>
      <c r="L1" s="15"/>
      <c r="M1" s="15"/>
      <c r="N1" s="15"/>
      <c r="O1" s="15"/>
      <c r="P1" s="15"/>
      <c r="Q1" s="15"/>
    </row>
    <row r="2" spans="1:17" x14ac:dyDescent="0.25">
      <c r="A2" s="77" t="s">
        <v>35</v>
      </c>
      <c r="B2" s="86" t="s">
        <v>36</v>
      </c>
      <c r="C2" s="79">
        <v>16</v>
      </c>
      <c r="D2" s="79">
        <f t="shared" ref="D2:D11" si="0">QUOTIENT(C2+7,8)</f>
        <v>2</v>
      </c>
      <c r="E2" s="79">
        <f t="shared" ref="E2:E11" si="1">QUOTIENT(D2+1,2)</f>
        <v>1</v>
      </c>
      <c r="F2" s="87" t="s">
        <v>36</v>
      </c>
      <c r="G2" s="87" t="s">
        <v>36</v>
      </c>
      <c r="H2" s="81"/>
    </row>
    <row r="3" spans="1:17" x14ac:dyDescent="0.25">
      <c r="A3" s="88" t="str">
        <f t="shared" ref="A3:A12" si="2">DEC2HEX(HEX2DEC(A2)+E2)</f>
        <v>3E1</v>
      </c>
      <c r="B3" s="79" t="s">
        <v>36</v>
      </c>
      <c r="C3" s="87">
        <v>16</v>
      </c>
      <c r="D3" s="87">
        <f t="shared" si="0"/>
        <v>2</v>
      </c>
      <c r="E3" s="87">
        <f t="shared" si="1"/>
        <v>1</v>
      </c>
      <c r="F3" s="87" t="s">
        <v>36</v>
      </c>
      <c r="G3" s="87" t="s">
        <v>36</v>
      </c>
      <c r="H3" s="89"/>
    </row>
    <row r="4" spans="1:17" x14ac:dyDescent="0.25">
      <c r="A4" s="88" t="str">
        <f t="shared" si="2"/>
        <v>3E2</v>
      </c>
      <c r="B4" s="81" t="s">
        <v>37</v>
      </c>
      <c r="C4" s="87">
        <v>16</v>
      </c>
      <c r="D4" s="87">
        <f t="shared" ref="D4:D8" si="3">QUOTIENT(C4+7,8)</f>
        <v>2</v>
      </c>
      <c r="E4" s="87">
        <f t="shared" ref="E4:E8" si="4">QUOTIENT(D4+1,2)</f>
        <v>1</v>
      </c>
      <c r="F4" s="87" t="s">
        <v>36</v>
      </c>
      <c r="G4" s="89" t="s">
        <v>36</v>
      </c>
      <c r="H4" s="87"/>
    </row>
    <row r="5" spans="1:17" ht="141.75" customHeight="1" x14ac:dyDescent="0.25">
      <c r="A5" s="88" t="str">
        <f t="shared" si="2"/>
        <v>3E3</v>
      </c>
      <c r="B5" s="81" t="s">
        <v>38</v>
      </c>
      <c r="C5" s="87">
        <v>16</v>
      </c>
      <c r="D5" s="87">
        <f t="shared" si="3"/>
        <v>2</v>
      </c>
      <c r="E5" s="87">
        <f t="shared" si="4"/>
        <v>1</v>
      </c>
      <c r="F5" s="87" t="s">
        <v>39</v>
      </c>
      <c r="G5" s="89" t="s">
        <v>40</v>
      </c>
      <c r="H5" s="87"/>
    </row>
    <row r="6" spans="1:17" ht="110.25" x14ac:dyDescent="0.25">
      <c r="A6" s="88" t="str">
        <f t="shared" si="2"/>
        <v>3E4</v>
      </c>
      <c r="B6" s="79" t="s">
        <v>41</v>
      </c>
      <c r="C6" s="87">
        <v>64</v>
      </c>
      <c r="D6" s="87">
        <f t="shared" si="3"/>
        <v>8</v>
      </c>
      <c r="E6" s="87">
        <f t="shared" si="4"/>
        <v>4</v>
      </c>
      <c r="F6" s="90" t="s">
        <v>42</v>
      </c>
      <c r="G6" s="91" t="s">
        <v>43</v>
      </c>
      <c r="H6" s="91"/>
    </row>
    <row r="7" spans="1:17" ht="47.25" x14ac:dyDescent="0.25">
      <c r="A7" s="92" t="str">
        <f t="shared" si="2"/>
        <v>3E8</v>
      </c>
      <c r="B7" s="81" t="s">
        <v>44</v>
      </c>
      <c r="C7" s="93">
        <v>32</v>
      </c>
      <c r="D7" s="94">
        <f t="shared" si="3"/>
        <v>4</v>
      </c>
      <c r="E7" s="94">
        <f t="shared" si="4"/>
        <v>2</v>
      </c>
      <c r="F7" s="87" t="s">
        <v>45</v>
      </c>
      <c r="G7" s="91" t="s">
        <v>43</v>
      </c>
      <c r="H7" s="79" t="s">
        <v>46</v>
      </c>
    </row>
    <row r="8" spans="1:17" ht="47.25" x14ac:dyDescent="0.25">
      <c r="A8" s="88" t="str">
        <f t="shared" si="2"/>
        <v>3EA</v>
      </c>
      <c r="B8" s="95" t="s">
        <v>47</v>
      </c>
      <c r="C8" s="87">
        <v>128</v>
      </c>
      <c r="D8" s="89">
        <f t="shared" si="3"/>
        <v>16</v>
      </c>
      <c r="E8" s="89">
        <f t="shared" si="4"/>
        <v>8</v>
      </c>
      <c r="F8" s="87" t="s">
        <v>48</v>
      </c>
      <c r="G8" s="91" t="s">
        <v>43</v>
      </c>
      <c r="H8" s="79" t="s">
        <v>46</v>
      </c>
    </row>
    <row r="9" spans="1:17" x14ac:dyDescent="0.25">
      <c r="A9" s="88" t="str">
        <f t="shared" ref="A9:A11" si="5">DEC2HEX(HEX2DEC(A8)+E8)</f>
        <v>3F2</v>
      </c>
      <c r="B9" s="96" t="s">
        <v>49</v>
      </c>
      <c r="C9" s="97">
        <v>4</v>
      </c>
      <c r="D9" s="89">
        <f t="shared" ref="D9:D10" si="6">QUOTIENT(C9+7,8)</f>
        <v>1</v>
      </c>
      <c r="E9" s="89">
        <f t="shared" ref="E9:E10" si="7">QUOTIENT(D9+1,2)</f>
        <v>1</v>
      </c>
      <c r="F9" s="93" t="s">
        <v>50</v>
      </c>
      <c r="G9" s="98" t="s">
        <v>51</v>
      </c>
      <c r="H9" s="87"/>
    </row>
    <row r="10" spans="1:17" x14ac:dyDescent="0.25">
      <c r="A10" s="88" t="str">
        <f t="shared" si="5"/>
        <v>3F3</v>
      </c>
      <c r="B10" s="96" t="s">
        <v>52</v>
      </c>
      <c r="C10" s="97">
        <v>32</v>
      </c>
      <c r="D10" s="89">
        <f t="shared" si="6"/>
        <v>4</v>
      </c>
      <c r="E10" s="89">
        <f t="shared" si="7"/>
        <v>2</v>
      </c>
      <c r="F10" s="93" t="s">
        <v>53</v>
      </c>
      <c r="G10" s="98" t="s">
        <v>51</v>
      </c>
      <c r="H10" s="87"/>
    </row>
    <row r="11" spans="1:17" x14ac:dyDescent="0.25">
      <c r="A11" s="88" t="str">
        <f t="shared" si="5"/>
        <v>3F5</v>
      </c>
      <c r="B11" s="99" t="s">
        <v>36</v>
      </c>
      <c r="C11" s="93">
        <v>176</v>
      </c>
      <c r="D11" s="93">
        <f t="shared" si="0"/>
        <v>22</v>
      </c>
      <c r="E11" s="93">
        <f t="shared" si="1"/>
        <v>11</v>
      </c>
      <c r="F11" s="93" t="s">
        <v>36</v>
      </c>
      <c r="G11" s="93" t="s">
        <v>36</v>
      </c>
      <c r="H11" s="87"/>
    </row>
    <row r="12" spans="1:17" x14ac:dyDescent="0.25">
      <c r="A12" s="83" t="str">
        <f t="shared" si="2"/>
        <v>400</v>
      </c>
      <c r="B12" s="84" t="s">
        <v>32</v>
      </c>
      <c r="C12" s="83">
        <f>SUM(C2:C11)</f>
        <v>500</v>
      </c>
      <c r="D12" s="83">
        <f>SUM(D2:D11)</f>
        <v>63</v>
      </c>
      <c r="E12" s="83">
        <f>SUM(E2:E11)</f>
        <v>32</v>
      </c>
      <c r="F12" s="83"/>
      <c r="G12" s="85"/>
      <c r="H12" s="82"/>
    </row>
    <row r="13" spans="1:17" x14ac:dyDescent="0.25">
      <c r="A13" s="79" t="str">
        <f>DEC2HEX(E13)</f>
        <v>20</v>
      </c>
      <c r="B13" s="79" t="s">
        <v>33</v>
      </c>
      <c r="C13" s="79">
        <f>E12*16</f>
        <v>512</v>
      </c>
      <c r="D13" s="79">
        <f t="shared" ref="D13" si="8">QUOTIENT(C13+7,8)</f>
        <v>64</v>
      </c>
      <c r="E13" s="79">
        <f t="shared" ref="E13" si="9">QUOTIENT(D13+1,2)</f>
        <v>32</v>
      </c>
      <c r="F13" s="82"/>
      <c r="G13" s="82"/>
      <c r="H13" s="82"/>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D831B-0566-4265-ADAE-2A0AE27B692F}">
  <sheetPr>
    <pageSetUpPr fitToPage="1"/>
  </sheetPr>
  <dimension ref="A1:BT149"/>
  <sheetViews>
    <sheetView zoomScaleNormal="100" workbookViewId="0">
      <pane ySplit="1" topLeftCell="A2" activePane="bottomLeft" state="frozen"/>
      <selection pane="bottomLeft" activeCell="E7" sqref="A1:G130"/>
    </sheetView>
  </sheetViews>
  <sheetFormatPr defaultColWidth="9" defaultRowHeight="16.5" x14ac:dyDescent="0.25"/>
  <cols>
    <col min="1" max="1" width="16.625" style="32" customWidth="1"/>
    <col min="2" max="2" width="24.125" style="33" customWidth="1"/>
    <col min="3" max="3" width="6.75" style="33" customWidth="1"/>
    <col min="4" max="4" width="6.375" style="33" customWidth="1"/>
    <col min="5" max="5" width="44.125" style="33" customWidth="1"/>
    <col min="6" max="6" width="62.125" style="34" customWidth="1"/>
    <col min="7" max="7" width="33.375" style="33" hidden="1" customWidth="1"/>
    <col min="8" max="15" width="9" style="15"/>
    <col min="16" max="16384" width="9" style="18"/>
  </cols>
  <sheetData>
    <row r="1" spans="1:15" ht="37.5" x14ac:dyDescent="0.25">
      <c r="A1" s="75" t="s">
        <v>21</v>
      </c>
      <c r="B1" s="75" t="s">
        <v>54</v>
      </c>
      <c r="C1" s="75" t="s">
        <v>55</v>
      </c>
      <c r="D1" s="75" t="s">
        <v>56</v>
      </c>
      <c r="E1" s="75" t="s">
        <v>57</v>
      </c>
      <c r="F1" s="100" t="s">
        <v>26</v>
      </c>
      <c r="G1" s="100" t="s">
        <v>27</v>
      </c>
    </row>
    <row r="2" spans="1:15" s="19" customFormat="1" ht="31.5" x14ac:dyDescent="0.25">
      <c r="A2" s="101">
        <v>400</v>
      </c>
      <c r="B2" s="101" t="s">
        <v>58</v>
      </c>
      <c r="C2" s="102">
        <v>15</v>
      </c>
      <c r="D2" s="102">
        <v>15</v>
      </c>
      <c r="E2" s="103" t="s">
        <v>59</v>
      </c>
      <c r="F2" s="104" t="s">
        <v>60</v>
      </c>
      <c r="G2" s="105"/>
      <c r="H2" s="15"/>
      <c r="I2" s="15"/>
      <c r="J2" s="15"/>
      <c r="K2" s="15"/>
      <c r="L2" s="15"/>
      <c r="M2" s="15"/>
      <c r="N2" s="15"/>
      <c r="O2" s="15"/>
    </row>
    <row r="3" spans="1:15" s="20" customFormat="1" ht="31.5" x14ac:dyDescent="0.25">
      <c r="A3" s="106"/>
      <c r="B3" s="106"/>
      <c r="C3" s="107">
        <v>14</v>
      </c>
      <c r="D3" s="107">
        <v>14</v>
      </c>
      <c r="E3" s="108" t="s">
        <v>61</v>
      </c>
      <c r="F3" s="109" t="s">
        <v>62</v>
      </c>
      <c r="G3" s="110"/>
      <c r="H3" s="15"/>
      <c r="I3" s="15"/>
      <c r="J3" s="15"/>
      <c r="K3" s="15"/>
      <c r="L3" s="15"/>
      <c r="M3" s="15"/>
      <c r="N3" s="15"/>
      <c r="O3" s="15"/>
    </row>
    <row r="4" spans="1:15" s="19" customFormat="1" ht="78.75" x14ac:dyDescent="0.25">
      <c r="A4" s="106"/>
      <c r="B4" s="106"/>
      <c r="C4" s="107">
        <v>13</v>
      </c>
      <c r="D4" s="107">
        <v>13</v>
      </c>
      <c r="E4" s="111" t="s">
        <v>63</v>
      </c>
      <c r="F4" s="90" t="s">
        <v>64</v>
      </c>
      <c r="G4" s="90" t="s">
        <v>65</v>
      </c>
      <c r="H4" s="15"/>
      <c r="I4" s="15"/>
      <c r="J4" s="15"/>
      <c r="K4" s="15"/>
      <c r="L4" s="15"/>
      <c r="M4" s="15"/>
      <c r="N4" s="15"/>
      <c r="O4" s="15"/>
    </row>
    <row r="5" spans="1:15" s="19" customFormat="1" ht="31.5" x14ac:dyDescent="0.25">
      <c r="A5" s="106"/>
      <c r="B5" s="106"/>
      <c r="C5" s="111">
        <v>12</v>
      </c>
      <c r="D5" s="111">
        <v>12</v>
      </c>
      <c r="E5" s="107" t="s">
        <v>66</v>
      </c>
      <c r="F5" s="90" t="s">
        <v>67</v>
      </c>
      <c r="G5" s="90"/>
      <c r="H5" s="15"/>
      <c r="I5" s="15"/>
      <c r="J5" s="15"/>
      <c r="K5" s="15"/>
      <c r="L5" s="15"/>
      <c r="M5" s="15"/>
      <c r="N5" s="15"/>
      <c r="O5" s="15"/>
    </row>
    <row r="6" spans="1:15" s="19" customFormat="1" ht="63" x14ac:dyDescent="0.25">
      <c r="A6" s="106"/>
      <c r="B6" s="106"/>
      <c r="C6" s="111">
        <v>11</v>
      </c>
      <c r="D6" s="111">
        <v>11</v>
      </c>
      <c r="E6" s="107" t="s">
        <v>68</v>
      </c>
      <c r="F6" s="90" t="s">
        <v>69</v>
      </c>
      <c r="G6" s="90"/>
      <c r="H6" s="15"/>
      <c r="I6" s="15"/>
      <c r="J6" s="15"/>
      <c r="K6" s="15"/>
      <c r="L6" s="15"/>
      <c r="M6" s="15"/>
      <c r="N6" s="15"/>
      <c r="O6" s="15"/>
    </row>
    <row r="7" spans="1:15" s="19" customFormat="1" ht="31.5" x14ac:dyDescent="0.25">
      <c r="A7" s="106"/>
      <c r="B7" s="106"/>
      <c r="C7" s="111">
        <v>10</v>
      </c>
      <c r="D7" s="111">
        <v>10</v>
      </c>
      <c r="E7" s="111" t="s">
        <v>70</v>
      </c>
      <c r="F7" s="112" t="s">
        <v>71</v>
      </c>
      <c r="G7" s="90"/>
      <c r="H7" s="15"/>
      <c r="I7" s="15"/>
      <c r="J7" s="15"/>
      <c r="K7" s="15"/>
      <c r="L7" s="15"/>
      <c r="M7" s="15"/>
      <c r="N7" s="15"/>
      <c r="O7" s="15"/>
    </row>
    <row r="8" spans="1:15" s="19" customFormat="1" ht="78.75" x14ac:dyDescent="0.25">
      <c r="A8" s="106"/>
      <c r="B8" s="106"/>
      <c r="C8" s="78">
        <v>9</v>
      </c>
      <c r="D8" s="78">
        <v>9</v>
      </c>
      <c r="E8" s="113" t="s">
        <v>72</v>
      </c>
      <c r="F8" s="104" t="s">
        <v>73</v>
      </c>
      <c r="G8" s="114"/>
      <c r="H8" s="15"/>
      <c r="I8" s="15"/>
      <c r="J8" s="15"/>
      <c r="K8" s="15"/>
      <c r="L8" s="15"/>
      <c r="M8" s="15"/>
      <c r="N8" s="15"/>
      <c r="O8" s="15"/>
    </row>
    <row r="9" spans="1:15" s="19" customFormat="1" ht="94.5" x14ac:dyDescent="0.25">
      <c r="A9" s="106"/>
      <c r="B9" s="106"/>
      <c r="C9" s="102">
        <v>8</v>
      </c>
      <c r="D9" s="102">
        <v>8</v>
      </c>
      <c r="E9" s="103" t="s">
        <v>74</v>
      </c>
      <c r="F9" s="115" t="s">
        <v>75</v>
      </c>
      <c r="G9" s="116"/>
      <c r="H9" s="15"/>
      <c r="I9" s="15"/>
      <c r="J9" s="15"/>
      <c r="K9" s="15"/>
      <c r="L9" s="15"/>
      <c r="M9" s="15"/>
      <c r="N9" s="15"/>
      <c r="O9" s="15"/>
    </row>
    <row r="10" spans="1:15" s="19" customFormat="1" ht="31.5" x14ac:dyDescent="0.25">
      <c r="A10" s="106"/>
      <c r="B10" s="106"/>
      <c r="C10" s="111">
        <v>7</v>
      </c>
      <c r="D10" s="111">
        <v>7</v>
      </c>
      <c r="E10" s="117" t="s">
        <v>76</v>
      </c>
      <c r="F10" s="104" t="s">
        <v>77</v>
      </c>
      <c r="G10" s="116"/>
      <c r="H10" s="15"/>
      <c r="I10" s="15"/>
      <c r="J10" s="15"/>
      <c r="K10" s="15"/>
      <c r="L10" s="15"/>
      <c r="M10" s="15"/>
      <c r="N10" s="15"/>
      <c r="O10" s="15"/>
    </row>
    <row r="11" spans="1:15" s="19" customFormat="1" ht="31.5" x14ac:dyDescent="0.25">
      <c r="A11" s="106"/>
      <c r="B11" s="106"/>
      <c r="C11" s="111">
        <v>6</v>
      </c>
      <c r="D11" s="111">
        <v>6</v>
      </c>
      <c r="E11" s="117" t="s">
        <v>78</v>
      </c>
      <c r="F11" s="104" t="s">
        <v>79</v>
      </c>
      <c r="G11" s="116"/>
      <c r="H11" s="15"/>
      <c r="I11" s="15"/>
      <c r="J11" s="15"/>
      <c r="K11" s="15"/>
      <c r="L11" s="15"/>
      <c r="M11" s="15"/>
      <c r="N11" s="15"/>
      <c r="O11" s="15"/>
    </row>
    <row r="12" spans="1:15" s="19" customFormat="1" ht="47.25" x14ac:dyDescent="0.25">
      <c r="A12" s="106"/>
      <c r="B12" s="106"/>
      <c r="C12" s="111">
        <v>5</v>
      </c>
      <c r="D12" s="111">
        <v>5</v>
      </c>
      <c r="E12" s="118" t="s">
        <v>80</v>
      </c>
      <c r="F12" s="104" t="s">
        <v>81</v>
      </c>
      <c r="G12" s="116"/>
      <c r="H12" s="15"/>
      <c r="I12" s="15"/>
      <c r="J12" s="15"/>
      <c r="K12" s="15"/>
      <c r="L12" s="15"/>
      <c r="M12" s="15"/>
      <c r="N12" s="15"/>
      <c r="O12" s="15"/>
    </row>
    <row r="13" spans="1:15" s="19" customFormat="1" ht="31.5" x14ac:dyDescent="0.25">
      <c r="A13" s="106"/>
      <c r="B13" s="106"/>
      <c r="C13" s="111">
        <v>4</v>
      </c>
      <c r="D13" s="111">
        <v>4</v>
      </c>
      <c r="E13" s="119" t="s">
        <v>82</v>
      </c>
      <c r="F13" s="104" t="s">
        <v>83</v>
      </c>
      <c r="G13" s="116"/>
      <c r="H13" s="15"/>
      <c r="I13" s="15"/>
      <c r="J13" s="15"/>
      <c r="K13" s="15"/>
      <c r="L13" s="15"/>
      <c r="M13" s="15"/>
      <c r="N13" s="15"/>
      <c r="O13" s="15"/>
    </row>
    <row r="14" spans="1:15" s="19" customFormat="1" ht="31.5" x14ac:dyDescent="0.25">
      <c r="A14" s="106"/>
      <c r="B14" s="106"/>
      <c r="C14" s="107">
        <v>3</v>
      </c>
      <c r="D14" s="107">
        <v>3</v>
      </c>
      <c r="E14" s="120" t="s">
        <v>84</v>
      </c>
      <c r="F14" s="104" t="s">
        <v>85</v>
      </c>
      <c r="G14" s="121"/>
      <c r="H14" s="15"/>
      <c r="I14" s="15"/>
      <c r="J14" s="15"/>
      <c r="K14" s="15"/>
      <c r="L14" s="15"/>
      <c r="M14" s="15"/>
      <c r="N14" s="15"/>
      <c r="O14" s="15"/>
    </row>
    <row r="15" spans="1:15" s="19" customFormat="1" ht="31.5" x14ac:dyDescent="0.25">
      <c r="A15" s="106"/>
      <c r="B15" s="106"/>
      <c r="C15" s="111">
        <v>2</v>
      </c>
      <c r="D15" s="111">
        <v>2</v>
      </c>
      <c r="E15" s="120" t="s">
        <v>86</v>
      </c>
      <c r="F15" s="104" t="s">
        <v>87</v>
      </c>
      <c r="G15" s="121"/>
      <c r="H15" s="15"/>
      <c r="I15" s="15"/>
      <c r="J15" s="15"/>
      <c r="K15" s="15"/>
      <c r="L15" s="15"/>
      <c r="M15" s="15"/>
      <c r="N15" s="15"/>
      <c r="O15" s="15"/>
    </row>
    <row r="16" spans="1:15" s="19" customFormat="1" ht="31.5" x14ac:dyDescent="0.25">
      <c r="A16" s="106"/>
      <c r="B16" s="106"/>
      <c r="C16" s="111">
        <v>1</v>
      </c>
      <c r="D16" s="111">
        <v>1</v>
      </c>
      <c r="E16" s="120" t="s">
        <v>88</v>
      </c>
      <c r="F16" s="104" t="s">
        <v>89</v>
      </c>
      <c r="G16" s="121"/>
      <c r="H16" s="15"/>
      <c r="I16" s="15"/>
      <c r="J16" s="15"/>
      <c r="K16" s="15"/>
      <c r="L16" s="15"/>
      <c r="M16" s="15"/>
      <c r="N16" s="15"/>
      <c r="O16" s="15"/>
    </row>
    <row r="17" spans="1:15" s="19" customFormat="1" ht="31.5" x14ac:dyDescent="0.25">
      <c r="A17" s="122"/>
      <c r="B17" s="122"/>
      <c r="C17" s="123">
        <v>0</v>
      </c>
      <c r="D17" s="123">
        <v>0</v>
      </c>
      <c r="E17" s="124" t="s">
        <v>90</v>
      </c>
      <c r="F17" s="125" t="s">
        <v>91</v>
      </c>
      <c r="G17" s="126"/>
      <c r="H17" s="15"/>
      <c r="I17" s="15"/>
      <c r="J17" s="15"/>
      <c r="K17" s="15"/>
      <c r="L17" s="15"/>
      <c r="M17" s="15"/>
      <c r="N17" s="15"/>
      <c r="O17" s="15"/>
    </row>
    <row r="18" spans="1:15" s="19" customFormat="1" ht="31.5" x14ac:dyDescent="0.25">
      <c r="A18" s="127" t="s">
        <v>92</v>
      </c>
      <c r="B18" s="128" t="s">
        <v>93</v>
      </c>
      <c r="C18" s="129">
        <v>15</v>
      </c>
      <c r="D18" s="129">
        <v>0</v>
      </c>
      <c r="E18" s="129" t="s">
        <v>94</v>
      </c>
      <c r="F18" s="130" t="s">
        <v>95</v>
      </c>
      <c r="G18" s="129"/>
      <c r="H18" s="15"/>
      <c r="I18" s="15"/>
      <c r="J18" s="15"/>
      <c r="K18" s="15"/>
      <c r="L18" s="15"/>
      <c r="M18" s="15"/>
      <c r="N18" s="15"/>
      <c r="O18" s="15"/>
    </row>
    <row r="19" spans="1:15" s="19" customFormat="1" x14ac:dyDescent="0.25">
      <c r="A19" s="131" t="s">
        <v>96</v>
      </c>
      <c r="B19" s="132" t="s">
        <v>97</v>
      </c>
      <c r="C19" s="78">
        <v>15</v>
      </c>
      <c r="D19" s="78">
        <v>15</v>
      </c>
      <c r="E19" s="78" t="s">
        <v>37</v>
      </c>
      <c r="F19" s="86" t="s">
        <v>37</v>
      </c>
      <c r="G19" s="133"/>
      <c r="H19" s="15"/>
      <c r="I19" s="15"/>
      <c r="J19" s="15"/>
      <c r="K19" s="15"/>
      <c r="L19" s="15"/>
      <c r="M19" s="15"/>
      <c r="N19" s="15"/>
      <c r="O19" s="15"/>
    </row>
    <row r="20" spans="1:15" s="19" customFormat="1" x14ac:dyDescent="0.25">
      <c r="A20" s="131"/>
      <c r="B20" s="132"/>
      <c r="C20" s="111">
        <v>14</v>
      </c>
      <c r="D20" s="111">
        <v>14</v>
      </c>
      <c r="E20" s="111" t="s">
        <v>37</v>
      </c>
      <c r="F20" s="90" t="s">
        <v>37</v>
      </c>
      <c r="G20" s="111"/>
      <c r="H20" s="15"/>
      <c r="I20" s="15"/>
      <c r="J20" s="15"/>
      <c r="K20" s="15"/>
      <c r="L20" s="15"/>
      <c r="M20" s="15"/>
      <c r="N20" s="15"/>
      <c r="O20" s="15"/>
    </row>
    <row r="21" spans="1:15" s="19" customFormat="1" ht="31.5" x14ac:dyDescent="0.25">
      <c r="A21" s="131"/>
      <c r="B21" s="132"/>
      <c r="C21" s="111">
        <v>13</v>
      </c>
      <c r="D21" s="111">
        <v>13</v>
      </c>
      <c r="E21" s="111" t="s">
        <v>98</v>
      </c>
      <c r="F21" s="90" t="s">
        <v>99</v>
      </c>
      <c r="G21" s="90"/>
      <c r="H21" s="15"/>
      <c r="I21" s="15"/>
      <c r="J21" s="15"/>
      <c r="K21" s="15"/>
      <c r="L21" s="15"/>
      <c r="M21" s="15"/>
      <c r="N21" s="15"/>
      <c r="O21" s="15"/>
    </row>
    <row r="22" spans="1:15" s="19" customFormat="1" x14ac:dyDescent="0.25">
      <c r="A22" s="131"/>
      <c r="B22" s="132"/>
      <c r="C22" s="111">
        <v>12</v>
      </c>
      <c r="D22" s="111">
        <v>12</v>
      </c>
      <c r="E22" s="111" t="s">
        <v>37</v>
      </c>
      <c r="F22" s="90" t="s">
        <v>37</v>
      </c>
      <c r="G22" s="111"/>
      <c r="H22" s="15"/>
      <c r="I22" s="15"/>
      <c r="J22" s="15"/>
      <c r="K22" s="15"/>
      <c r="L22" s="15"/>
      <c r="M22" s="15"/>
      <c r="N22" s="15"/>
      <c r="O22" s="15"/>
    </row>
    <row r="23" spans="1:15" s="19" customFormat="1" ht="78.75" x14ac:dyDescent="0.25">
      <c r="A23" s="131"/>
      <c r="B23" s="132"/>
      <c r="C23" s="111">
        <v>11</v>
      </c>
      <c r="D23" s="111">
        <v>11</v>
      </c>
      <c r="E23" s="111" t="s">
        <v>100</v>
      </c>
      <c r="F23" s="90" t="s">
        <v>101</v>
      </c>
      <c r="G23" s="90"/>
      <c r="H23" s="15"/>
      <c r="I23" s="15"/>
      <c r="J23" s="15"/>
      <c r="K23" s="15"/>
      <c r="L23" s="15"/>
      <c r="M23" s="15"/>
      <c r="N23" s="15"/>
      <c r="O23" s="15"/>
    </row>
    <row r="24" spans="1:15" s="19" customFormat="1" x14ac:dyDescent="0.25">
      <c r="A24" s="131"/>
      <c r="B24" s="132"/>
      <c r="C24" s="111">
        <v>10</v>
      </c>
      <c r="D24" s="111">
        <v>10</v>
      </c>
      <c r="E24" s="111" t="s">
        <v>37</v>
      </c>
      <c r="F24" s="90" t="s">
        <v>37</v>
      </c>
      <c r="G24" s="90"/>
      <c r="H24" s="15"/>
      <c r="I24" s="15"/>
      <c r="J24" s="15"/>
      <c r="K24" s="15"/>
      <c r="L24" s="15"/>
      <c r="M24" s="15"/>
      <c r="N24" s="15"/>
      <c r="O24" s="15"/>
    </row>
    <row r="25" spans="1:15" s="19" customFormat="1" ht="110.25" x14ac:dyDescent="0.25">
      <c r="A25" s="131"/>
      <c r="B25" s="132"/>
      <c r="C25" s="111">
        <v>9</v>
      </c>
      <c r="D25" s="111">
        <v>8</v>
      </c>
      <c r="E25" s="108" t="s">
        <v>102</v>
      </c>
      <c r="F25" s="134" t="s">
        <v>103</v>
      </c>
      <c r="G25" s="90" t="s">
        <v>104</v>
      </c>
      <c r="H25" s="15"/>
      <c r="I25" s="15"/>
      <c r="J25" s="15"/>
      <c r="K25" s="15"/>
      <c r="L25" s="15"/>
      <c r="M25" s="15"/>
      <c r="N25" s="15"/>
      <c r="O25" s="15"/>
    </row>
    <row r="26" spans="1:15" s="19" customFormat="1" ht="63" x14ac:dyDescent="0.25">
      <c r="A26" s="131"/>
      <c r="B26" s="132"/>
      <c r="C26" s="111">
        <v>7</v>
      </c>
      <c r="D26" s="111">
        <v>6</v>
      </c>
      <c r="E26" s="111" t="s">
        <v>105</v>
      </c>
      <c r="F26" s="134" t="s">
        <v>106</v>
      </c>
      <c r="G26" s="90"/>
      <c r="H26" s="15"/>
      <c r="I26" s="15"/>
      <c r="J26" s="15"/>
      <c r="K26" s="15"/>
      <c r="L26" s="15"/>
      <c r="M26" s="15"/>
      <c r="N26" s="15"/>
      <c r="O26" s="15"/>
    </row>
    <row r="27" spans="1:15" s="19" customFormat="1" ht="47.25" x14ac:dyDescent="0.25">
      <c r="A27" s="131"/>
      <c r="B27" s="132"/>
      <c r="C27" s="111">
        <v>5</v>
      </c>
      <c r="D27" s="111">
        <v>5</v>
      </c>
      <c r="E27" s="111" t="s">
        <v>107</v>
      </c>
      <c r="F27" s="134" t="s">
        <v>108</v>
      </c>
      <c r="G27" s="111"/>
      <c r="H27" s="15"/>
      <c r="I27" s="15"/>
      <c r="J27" s="15"/>
      <c r="K27" s="15"/>
      <c r="L27" s="15"/>
      <c r="M27" s="15"/>
      <c r="N27" s="15"/>
      <c r="O27" s="15"/>
    </row>
    <row r="28" spans="1:15" s="19" customFormat="1" ht="47.25" x14ac:dyDescent="0.25">
      <c r="A28" s="131"/>
      <c r="B28" s="132"/>
      <c r="C28" s="111">
        <v>4</v>
      </c>
      <c r="D28" s="111">
        <v>4</v>
      </c>
      <c r="E28" s="111" t="s">
        <v>109</v>
      </c>
      <c r="F28" s="90" t="s">
        <v>110</v>
      </c>
      <c r="G28" s="90"/>
      <c r="H28" s="15"/>
      <c r="I28" s="15"/>
      <c r="J28" s="15"/>
      <c r="K28" s="15"/>
      <c r="L28" s="15"/>
      <c r="M28" s="15"/>
      <c r="N28" s="15"/>
      <c r="O28" s="15"/>
    </row>
    <row r="29" spans="1:15" s="19" customFormat="1" ht="110.25" x14ac:dyDescent="0.25">
      <c r="A29" s="131"/>
      <c r="B29" s="132"/>
      <c r="C29" s="111">
        <v>3</v>
      </c>
      <c r="D29" s="111">
        <v>3</v>
      </c>
      <c r="E29" s="90" t="s">
        <v>111</v>
      </c>
      <c r="F29" s="90" t="s">
        <v>112</v>
      </c>
      <c r="G29" s="111"/>
      <c r="H29" s="15"/>
      <c r="I29" s="15"/>
      <c r="J29" s="15"/>
      <c r="K29" s="15"/>
      <c r="L29" s="15"/>
      <c r="M29" s="15"/>
      <c r="N29" s="15"/>
      <c r="O29" s="15"/>
    </row>
    <row r="30" spans="1:15" s="19" customFormat="1" x14ac:dyDescent="0.25">
      <c r="A30" s="131"/>
      <c r="B30" s="132"/>
      <c r="C30" s="111">
        <v>2</v>
      </c>
      <c r="D30" s="111">
        <v>2</v>
      </c>
      <c r="E30" s="111" t="s">
        <v>37</v>
      </c>
      <c r="F30" s="90" t="s">
        <v>37</v>
      </c>
      <c r="G30" s="90"/>
      <c r="H30" s="15"/>
      <c r="I30" s="15"/>
      <c r="J30" s="15"/>
      <c r="K30" s="15"/>
      <c r="L30" s="15"/>
      <c r="M30" s="15"/>
      <c r="N30" s="15"/>
      <c r="O30" s="15"/>
    </row>
    <row r="31" spans="1:15" s="19" customFormat="1" x14ac:dyDescent="0.25">
      <c r="A31" s="131"/>
      <c r="B31" s="132"/>
      <c r="C31" s="111">
        <v>1</v>
      </c>
      <c r="D31" s="111">
        <v>1</v>
      </c>
      <c r="E31" s="111" t="s">
        <v>37</v>
      </c>
      <c r="F31" s="90" t="s">
        <v>37</v>
      </c>
      <c r="G31" s="90"/>
      <c r="H31" s="15"/>
      <c r="I31" s="15"/>
      <c r="J31" s="15"/>
      <c r="K31" s="15"/>
      <c r="L31" s="15"/>
      <c r="M31" s="15"/>
      <c r="N31" s="15"/>
      <c r="O31" s="15"/>
    </row>
    <row r="32" spans="1:15" s="19" customFormat="1" ht="94.5" x14ac:dyDescent="0.25">
      <c r="A32" s="135"/>
      <c r="B32" s="136"/>
      <c r="C32" s="123">
        <v>0</v>
      </c>
      <c r="D32" s="123">
        <v>0</v>
      </c>
      <c r="E32" s="123" t="s">
        <v>113</v>
      </c>
      <c r="F32" s="90" t="s">
        <v>114</v>
      </c>
      <c r="G32" s="123"/>
      <c r="H32" s="15"/>
      <c r="I32" s="15"/>
      <c r="J32" s="15"/>
      <c r="K32" s="15"/>
      <c r="L32" s="15"/>
      <c r="M32" s="15"/>
      <c r="N32" s="15"/>
      <c r="O32" s="15"/>
    </row>
    <row r="33" spans="1:15" s="22" customFormat="1" ht="31.5" x14ac:dyDescent="0.25">
      <c r="A33" s="137" t="s">
        <v>115</v>
      </c>
      <c r="B33" s="130" t="s">
        <v>116</v>
      </c>
      <c r="C33" s="129">
        <v>15</v>
      </c>
      <c r="D33" s="129">
        <v>8</v>
      </c>
      <c r="E33" s="129" t="s">
        <v>117</v>
      </c>
      <c r="F33" s="138" t="s">
        <v>118</v>
      </c>
      <c r="G33" s="138"/>
      <c r="H33" s="15"/>
      <c r="I33" s="15"/>
      <c r="J33" s="15"/>
      <c r="K33" s="15"/>
      <c r="L33" s="15"/>
      <c r="M33" s="15"/>
      <c r="N33" s="15"/>
      <c r="O33" s="15"/>
    </row>
    <row r="34" spans="1:15" s="23" customFormat="1" x14ac:dyDescent="0.25">
      <c r="A34" s="139">
        <v>404</v>
      </c>
      <c r="B34" s="140" t="s">
        <v>119</v>
      </c>
      <c r="C34" s="141">
        <v>15</v>
      </c>
      <c r="D34" s="141">
        <v>11</v>
      </c>
      <c r="E34" s="141" t="s">
        <v>37</v>
      </c>
      <c r="F34" s="142"/>
      <c r="G34" s="141"/>
      <c r="H34" s="15"/>
      <c r="I34" s="15"/>
      <c r="J34" s="15"/>
      <c r="K34" s="15"/>
      <c r="L34" s="15"/>
      <c r="M34" s="15"/>
      <c r="N34" s="15"/>
      <c r="O34" s="15"/>
    </row>
    <row r="35" spans="1:15" s="24" customFormat="1" ht="31.5" x14ac:dyDescent="0.25">
      <c r="A35" s="131"/>
      <c r="B35" s="143"/>
      <c r="C35" s="144">
        <v>10</v>
      </c>
      <c r="D35" s="144">
        <v>1</v>
      </c>
      <c r="E35" s="144" t="s">
        <v>120</v>
      </c>
      <c r="F35" s="145" t="s">
        <v>121</v>
      </c>
      <c r="G35" s="146" t="s">
        <v>122</v>
      </c>
      <c r="H35" s="15"/>
      <c r="I35" s="15"/>
      <c r="J35" s="15"/>
      <c r="K35" s="15"/>
      <c r="L35" s="15"/>
      <c r="M35" s="15"/>
      <c r="N35" s="15"/>
      <c r="O35" s="15"/>
    </row>
    <row r="36" spans="1:15" s="25" customFormat="1" ht="46.5" customHeight="1" x14ac:dyDescent="0.25">
      <c r="A36" s="147"/>
      <c r="B36" s="148"/>
      <c r="C36" s="149">
        <v>0</v>
      </c>
      <c r="D36" s="149">
        <v>0</v>
      </c>
      <c r="E36" s="149" t="s">
        <v>123</v>
      </c>
      <c r="F36" s="150" t="s">
        <v>124</v>
      </c>
      <c r="G36" s="150"/>
      <c r="H36" s="15"/>
      <c r="I36" s="15"/>
      <c r="J36" s="15"/>
      <c r="K36" s="15"/>
      <c r="L36" s="15"/>
      <c r="M36" s="15"/>
      <c r="N36" s="15"/>
      <c r="O36" s="15"/>
    </row>
    <row r="37" spans="1:15" s="24" customFormat="1" x14ac:dyDescent="0.25">
      <c r="A37" s="139" t="s">
        <v>125</v>
      </c>
      <c r="B37" s="151" t="s">
        <v>126</v>
      </c>
      <c r="C37" s="152">
        <v>15</v>
      </c>
      <c r="D37" s="152">
        <v>10</v>
      </c>
      <c r="E37" s="153" t="s">
        <v>37</v>
      </c>
      <c r="F37" s="154"/>
      <c r="G37" s="146"/>
      <c r="H37" s="15"/>
      <c r="I37" s="15"/>
      <c r="J37" s="15"/>
      <c r="K37" s="15"/>
      <c r="L37" s="15"/>
      <c r="M37" s="15"/>
      <c r="N37" s="15"/>
      <c r="O37" s="15"/>
    </row>
    <row r="38" spans="1:15" s="25" customFormat="1" ht="47.25" x14ac:dyDescent="0.25">
      <c r="A38" s="147"/>
      <c r="B38" s="155"/>
      <c r="C38" s="149">
        <v>9</v>
      </c>
      <c r="D38" s="149">
        <v>0</v>
      </c>
      <c r="E38" s="156" t="s">
        <v>127</v>
      </c>
      <c r="F38" s="125" t="s">
        <v>128</v>
      </c>
      <c r="G38" s="157" t="s">
        <v>129</v>
      </c>
      <c r="H38" s="15"/>
      <c r="I38" s="15"/>
      <c r="J38" s="15"/>
      <c r="K38" s="15"/>
      <c r="L38" s="15"/>
      <c r="M38" s="15"/>
      <c r="N38" s="15"/>
      <c r="O38" s="15"/>
    </row>
    <row r="39" spans="1:15" s="23" customFormat="1" x14ac:dyDescent="0.25">
      <c r="A39" s="139">
        <v>406</v>
      </c>
      <c r="B39" s="140" t="s">
        <v>130</v>
      </c>
      <c r="C39" s="141">
        <v>15</v>
      </c>
      <c r="D39" s="141">
        <v>11</v>
      </c>
      <c r="E39" s="141" t="s">
        <v>37</v>
      </c>
      <c r="F39" s="142" t="s">
        <v>37</v>
      </c>
      <c r="G39" s="141"/>
      <c r="H39" s="15"/>
      <c r="I39" s="15"/>
      <c r="J39" s="15"/>
      <c r="K39" s="15"/>
      <c r="L39" s="15"/>
      <c r="M39" s="15"/>
      <c r="N39" s="15"/>
      <c r="O39" s="15"/>
    </row>
    <row r="40" spans="1:15" s="24" customFormat="1" ht="31.5" x14ac:dyDescent="0.25">
      <c r="A40" s="131"/>
      <c r="B40" s="143"/>
      <c r="C40" s="144">
        <v>10</v>
      </c>
      <c r="D40" s="144">
        <v>1</v>
      </c>
      <c r="E40" s="144" t="s">
        <v>131</v>
      </c>
      <c r="F40" s="145" t="s">
        <v>121</v>
      </c>
      <c r="G40" s="146" t="s">
        <v>122</v>
      </c>
      <c r="H40" s="15"/>
      <c r="I40" s="15"/>
      <c r="J40" s="15"/>
      <c r="K40" s="15"/>
      <c r="L40" s="15"/>
      <c r="M40" s="15"/>
      <c r="N40" s="15"/>
      <c r="O40" s="15"/>
    </row>
    <row r="41" spans="1:15" s="25" customFormat="1" ht="47.25" x14ac:dyDescent="0.25">
      <c r="A41" s="147"/>
      <c r="B41" s="148"/>
      <c r="C41" s="149">
        <v>0</v>
      </c>
      <c r="D41" s="149">
        <v>0</v>
      </c>
      <c r="E41" s="149" t="s">
        <v>132</v>
      </c>
      <c r="F41" s="150" t="s">
        <v>133</v>
      </c>
      <c r="G41" s="150"/>
      <c r="H41" s="15"/>
      <c r="I41" s="15"/>
      <c r="J41" s="15"/>
      <c r="K41" s="15"/>
      <c r="L41" s="15"/>
      <c r="M41" s="15"/>
      <c r="N41" s="15"/>
      <c r="O41" s="15"/>
    </row>
    <row r="42" spans="1:15" s="24" customFormat="1" x14ac:dyDescent="0.25">
      <c r="A42" s="139" t="s">
        <v>134</v>
      </c>
      <c r="B42" s="151" t="s">
        <v>135</v>
      </c>
      <c r="C42" s="152">
        <v>15</v>
      </c>
      <c r="D42" s="152">
        <v>10</v>
      </c>
      <c r="E42" s="153" t="s">
        <v>37</v>
      </c>
      <c r="F42" s="154"/>
      <c r="G42" s="146"/>
      <c r="H42" s="15"/>
      <c r="I42" s="15"/>
      <c r="J42" s="15"/>
      <c r="K42" s="15"/>
      <c r="L42" s="15"/>
      <c r="M42" s="15"/>
      <c r="N42" s="15"/>
      <c r="O42" s="15"/>
    </row>
    <row r="43" spans="1:15" s="25" customFormat="1" ht="47.25" x14ac:dyDescent="0.25">
      <c r="A43" s="147"/>
      <c r="B43" s="155"/>
      <c r="C43" s="149">
        <v>9</v>
      </c>
      <c r="D43" s="149">
        <v>0</v>
      </c>
      <c r="E43" s="156" t="s">
        <v>136</v>
      </c>
      <c r="F43" s="125" t="s">
        <v>137</v>
      </c>
      <c r="G43" s="157" t="s">
        <v>138</v>
      </c>
      <c r="H43" s="15"/>
      <c r="I43" s="15"/>
      <c r="J43" s="15"/>
      <c r="K43" s="15"/>
      <c r="L43" s="15"/>
      <c r="M43" s="15"/>
      <c r="N43" s="15"/>
      <c r="O43" s="15"/>
    </row>
    <row r="44" spans="1:15" s="26" customFormat="1" x14ac:dyDescent="0.25">
      <c r="A44" s="137" t="s">
        <v>139</v>
      </c>
      <c r="B44" s="158" t="s">
        <v>140</v>
      </c>
      <c r="C44" s="158">
        <v>15</v>
      </c>
      <c r="D44" s="158">
        <v>0</v>
      </c>
      <c r="E44" s="158" t="s">
        <v>37</v>
      </c>
      <c r="F44" s="130" t="s">
        <v>37</v>
      </c>
      <c r="G44" s="130" t="s">
        <v>141</v>
      </c>
      <c r="H44" s="15"/>
      <c r="I44" s="15"/>
      <c r="J44" s="15"/>
      <c r="K44" s="15"/>
      <c r="L44" s="15"/>
      <c r="M44" s="15"/>
      <c r="N44" s="15"/>
      <c r="O44" s="15"/>
    </row>
    <row r="45" spans="1:15" s="21" customFormat="1" ht="47.25" x14ac:dyDescent="0.25">
      <c r="A45" s="139" t="s">
        <v>142</v>
      </c>
      <c r="B45" s="151" t="s">
        <v>143</v>
      </c>
      <c r="C45" s="78">
        <v>15</v>
      </c>
      <c r="D45" s="78">
        <v>15</v>
      </c>
      <c r="E45" s="78" t="s">
        <v>144</v>
      </c>
      <c r="F45" s="86" t="s">
        <v>145</v>
      </c>
      <c r="G45" s="78"/>
      <c r="H45" s="15"/>
      <c r="I45" s="15"/>
      <c r="J45" s="15"/>
      <c r="K45" s="15"/>
      <c r="L45" s="15"/>
      <c r="M45" s="15"/>
      <c r="N45" s="15"/>
      <c r="O45" s="15"/>
    </row>
    <row r="46" spans="1:15" s="27" customFormat="1" ht="31.5" x14ac:dyDescent="0.25">
      <c r="A46" s="132"/>
      <c r="B46" s="155"/>
      <c r="C46" s="123">
        <v>14</v>
      </c>
      <c r="D46" s="123">
        <v>0</v>
      </c>
      <c r="E46" s="123" t="s">
        <v>146</v>
      </c>
      <c r="F46" s="159" t="s">
        <v>147</v>
      </c>
      <c r="G46" s="123"/>
      <c r="H46" s="15"/>
      <c r="I46" s="15"/>
      <c r="J46" s="15"/>
      <c r="K46" s="15"/>
      <c r="L46" s="15"/>
      <c r="M46" s="15"/>
      <c r="N46" s="15"/>
      <c r="O46" s="15"/>
    </row>
    <row r="47" spans="1:15" s="27" customFormat="1" x14ac:dyDescent="0.25">
      <c r="A47" s="160" t="s">
        <v>148</v>
      </c>
      <c r="B47" s="161" t="s">
        <v>149</v>
      </c>
      <c r="C47" s="78">
        <v>15</v>
      </c>
      <c r="D47" s="78">
        <v>8</v>
      </c>
      <c r="E47" s="78" t="s">
        <v>37</v>
      </c>
      <c r="F47" s="86"/>
      <c r="G47" s="78"/>
      <c r="H47" s="15"/>
      <c r="I47" s="15"/>
      <c r="J47" s="15"/>
      <c r="K47" s="15"/>
      <c r="L47" s="15"/>
      <c r="M47" s="15"/>
      <c r="N47" s="15"/>
      <c r="O47" s="15"/>
    </row>
    <row r="48" spans="1:15" s="28" customFormat="1" ht="31.5" x14ac:dyDescent="0.25">
      <c r="A48" s="162"/>
      <c r="B48" s="163"/>
      <c r="C48" s="102">
        <v>7</v>
      </c>
      <c r="D48" s="102">
        <v>0</v>
      </c>
      <c r="E48" s="102" t="s">
        <v>150</v>
      </c>
      <c r="F48" s="112" t="s">
        <v>151</v>
      </c>
      <c r="G48" s="102"/>
      <c r="H48" s="15"/>
      <c r="I48" s="15"/>
      <c r="J48" s="15"/>
      <c r="K48" s="15"/>
      <c r="L48" s="15"/>
      <c r="M48" s="15"/>
      <c r="N48" s="15"/>
      <c r="O48" s="15"/>
    </row>
    <row r="49" spans="1:72" s="29" customFormat="1" ht="47.25" x14ac:dyDescent="0.25">
      <c r="A49" s="131" t="s">
        <v>152</v>
      </c>
      <c r="B49" s="151" t="s">
        <v>153</v>
      </c>
      <c r="C49" s="164">
        <v>15</v>
      </c>
      <c r="D49" s="164">
        <v>15</v>
      </c>
      <c r="E49" s="164" t="s">
        <v>154</v>
      </c>
      <c r="F49" s="165" t="s">
        <v>155</v>
      </c>
      <c r="G49" s="165"/>
      <c r="H49" s="15"/>
      <c r="I49" s="15"/>
      <c r="J49" s="15"/>
      <c r="K49" s="15"/>
      <c r="L49" s="15"/>
      <c r="M49" s="15"/>
      <c r="N49" s="15"/>
      <c r="O49" s="15"/>
    </row>
    <row r="50" spans="1:72" s="29" customFormat="1" x14ac:dyDescent="0.25">
      <c r="A50" s="131"/>
      <c r="B50" s="143"/>
      <c r="C50" s="166">
        <v>14</v>
      </c>
      <c r="D50" s="166">
        <v>14</v>
      </c>
      <c r="E50" s="166" t="s">
        <v>156</v>
      </c>
      <c r="F50" s="104" t="s">
        <v>157</v>
      </c>
      <c r="G50" s="167"/>
      <c r="H50" s="15"/>
      <c r="I50" s="15"/>
      <c r="J50" s="15"/>
      <c r="K50" s="15"/>
      <c r="L50" s="15"/>
      <c r="M50" s="15"/>
      <c r="N50" s="15"/>
      <c r="O50" s="15"/>
    </row>
    <row r="51" spans="1:72" s="29" customFormat="1" x14ac:dyDescent="0.25">
      <c r="A51" s="131"/>
      <c r="B51" s="143"/>
      <c r="C51" s="166">
        <v>13</v>
      </c>
      <c r="D51" s="166">
        <v>13</v>
      </c>
      <c r="E51" s="166" t="s">
        <v>158</v>
      </c>
      <c r="F51" s="104" t="s">
        <v>159</v>
      </c>
      <c r="G51" s="167"/>
      <c r="H51" s="15"/>
      <c r="I51" s="15"/>
      <c r="J51" s="15"/>
      <c r="K51" s="15"/>
      <c r="L51" s="15"/>
      <c r="M51" s="15"/>
      <c r="N51" s="15"/>
      <c r="O51" s="15"/>
    </row>
    <row r="52" spans="1:72" s="29" customFormat="1" x14ac:dyDescent="0.25">
      <c r="A52" s="131"/>
      <c r="B52" s="143"/>
      <c r="C52" s="166">
        <v>12</v>
      </c>
      <c r="D52" s="166">
        <v>12</v>
      </c>
      <c r="E52" s="166" t="s">
        <v>37</v>
      </c>
      <c r="F52" s="104"/>
      <c r="G52" s="167"/>
      <c r="H52" s="15"/>
      <c r="I52" s="15"/>
      <c r="J52" s="15"/>
      <c r="K52" s="15"/>
      <c r="L52" s="15"/>
      <c r="M52" s="15"/>
      <c r="N52" s="15"/>
      <c r="O52" s="15"/>
    </row>
    <row r="53" spans="1:72" s="29" customFormat="1" x14ac:dyDescent="0.25">
      <c r="A53" s="131"/>
      <c r="B53" s="132"/>
      <c r="C53" s="152">
        <v>11</v>
      </c>
      <c r="D53" s="152">
        <v>0</v>
      </c>
      <c r="E53" s="152" t="s">
        <v>160</v>
      </c>
      <c r="F53" s="146" t="s">
        <v>161</v>
      </c>
      <c r="G53" s="152"/>
      <c r="H53" s="15"/>
      <c r="I53" s="15"/>
      <c r="J53" s="15"/>
      <c r="K53" s="15"/>
      <c r="L53" s="15"/>
      <c r="M53" s="15"/>
      <c r="N53" s="15"/>
      <c r="O53" s="15"/>
    </row>
    <row r="54" spans="1:72" s="30" customFormat="1" x14ac:dyDescent="0.25">
      <c r="A54" s="168" t="s">
        <v>162</v>
      </c>
      <c r="B54" s="169" t="s">
        <v>163</v>
      </c>
      <c r="C54" s="170">
        <v>15</v>
      </c>
      <c r="D54" s="171">
        <v>0</v>
      </c>
      <c r="E54" s="171" t="s">
        <v>164</v>
      </c>
      <c r="F54" s="172" t="s">
        <v>165</v>
      </c>
      <c r="G54" s="171"/>
      <c r="H54" s="15"/>
      <c r="I54" s="15"/>
      <c r="J54" s="15"/>
      <c r="K54" s="15"/>
      <c r="L54" s="15"/>
      <c r="M54" s="15"/>
      <c r="N54" s="15"/>
      <c r="O54" s="15"/>
    </row>
    <row r="55" spans="1:72" s="21" customFormat="1" ht="63" x14ac:dyDescent="0.25">
      <c r="A55" s="131" t="s">
        <v>166</v>
      </c>
      <c r="B55" s="132" t="s">
        <v>167</v>
      </c>
      <c r="C55" s="78">
        <v>15</v>
      </c>
      <c r="D55" s="78">
        <v>15</v>
      </c>
      <c r="E55" s="164" t="s">
        <v>168</v>
      </c>
      <c r="F55" s="86" t="s">
        <v>169</v>
      </c>
      <c r="G55" s="86"/>
      <c r="H55" s="15"/>
      <c r="I55" s="15"/>
      <c r="J55" s="15"/>
      <c r="K55" s="15"/>
      <c r="L55" s="15"/>
      <c r="M55" s="15"/>
      <c r="N55" s="15"/>
      <c r="O55" s="15"/>
    </row>
    <row r="56" spans="1:72" s="27" customFormat="1" x14ac:dyDescent="0.25">
      <c r="A56" s="131"/>
      <c r="B56" s="132"/>
      <c r="C56" s="111">
        <v>14</v>
      </c>
      <c r="D56" s="111">
        <v>14</v>
      </c>
      <c r="E56" s="166" t="s">
        <v>170</v>
      </c>
      <c r="F56" s="90" t="s">
        <v>171</v>
      </c>
      <c r="G56" s="111"/>
      <c r="H56" s="15"/>
      <c r="I56" s="15"/>
      <c r="J56" s="15"/>
      <c r="K56" s="15"/>
      <c r="L56" s="15"/>
      <c r="M56" s="15"/>
      <c r="N56" s="15"/>
      <c r="O56" s="15"/>
    </row>
    <row r="57" spans="1:72" s="27" customFormat="1" x14ac:dyDescent="0.25">
      <c r="A57" s="131"/>
      <c r="B57" s="132"/>
      <c r="C57" s="102">
        <v>13</v>
      </c>
      <c r="D57" s="102">
        <v>13</v>
      </c>
      <c r="E57" s="166" t="s">
        <v>172</v>
      </c>
      <c r="F57" s="112" t="s">
        <v>173</v>
      </c>
      <c r="G57" s="102"/>
      <c r="H57" s="15"/>
      <c r="I57" s="15"/>
      <c r="J57" s="15"/>
      <c r="K57" s="15"/>
      <c r="L57" s="15"/>
      <c r="M57" s="15"/>
      <c r="N57" s="15"/>
      <c r="O57" s="15"/>
    </row>
    <row r="58" spans="1:72" s="27" customFormat="1" x14ac:dyDescent="0.25">
      <c r="A58" s="131"/>
      <c r="B58" s="143"/>
      <c r="C58" s="167">
        <v>12</v>
      </c>
      <c r="D58" s="173">
        <v>12</v>
      </c>
      <c r="E58" s="174" t="s">
        <v>37</v>
      </c>
      <c r="F58" s="104"/>
      <c r="G58" s="111"/>
      <c r="H58" s="15"/>
      <c r="I58" s="15"/>
      <c r="J58" s="15"/>
      <c r="K58" s="15"/>
      <c r="L58" s="15"/>
      <c r="M58" s="15"/>
      <c r="N58" s="15"/>
      <c r="O58" s="15"/>
    </row>
    <row r="59" spans="1:72" s="27" customFormat="1" x14ac:dyDescent="0.25">
      <c r="A59" s="147"/>
      <c r="B59" s="155"/>
      <c r="C59" s="158">
        <v>11</v>
      </c>
      <c r="D59" s="158">
        <v>0</v>
      </c>
      <c r="E59" s="152" t="s">
        <v>174</v>
      </c>
      <c r="F59" s="146" t="s">
        <v>175</v>
      </c>
      <c r="G59" s="152"/>
      <c r="H59" s="15"/>
      <c r="I59" s="15"/>
      <c r="J59" s="15"/>
      <c r="K59" s="15"/>
      <c r="L59" s="15"/>
      <c r="M59" s="15"/>
      <c r="N59" s="15"/>
      <c r="O59" s="15"/>
    </row>
    <row r="60" spans="1:72" s="27" customFormat="1" x14ac:dyDescent="0.25">
      <c r="A60" s="175" t="s">
        <v>176</v>
      </c>
      <c r="B60" s="129" t="s">
        <v>177</v>
      </c>
      <c r="C60" s="129">
        <v>15</v>
      </c>
      <c r="D60" s="129">
        <v>0</v>
      </c>
      <c r="E60" s="171" t="s">
        <v>178</v>
      </c>
      <c r="F60" s="138" t="s">
        <v>179</v>
      </c>
      <c r="G60" s="129"/>
      <c r="H60" s="15"/>
      <c r="I60" s="15"/>
      <c r="J60" s="15"/>
      <c r="K60" s="15"/>
      <c r="L60" s="15"/>
      <c r="M60" s="15"/>
      <c r="N60" s="15"/>
      <c r="O60" s="15"/>
    </row>
    <row r="61" spans="1:72" s="24" customFormat="1" ht="31.5" x14ac:dyDescent="0.25">
      <c r="A61" s="139" t="s">
        <v>180</v>
      </c>
      <c r="B61" s="151" t="s">
        <v>181</v>
      </c>
      <c r="C61" s="176">
        <v>15</v>
      </c>
      <c r="D61" s="176">
        <v>8</v>
      </c>
      <c r="E61" s="166" t="s">
        <v>182</v>
      </c>
      <c r="F61" s="138" t="s">
        <v>183</v>
      </c>
      <c r="G61" s="138"/>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31"/>
    </row>
    <row r="62" spans="1:72" s="24" customFormat="1" x14ac:dyDescent="0.25">
      <c r="A62" s="131"/>
      <c r="B62" s="132"/>
      <c r="C62" s="111">
        <v>7</v>
      </c>
      <c r="D62" s="111">
        <v>5</v>
      </c>
      <c r="E62" s="177" t="s">
        <v>37</v>
      </c>
      <c r="F62" s="138" t="s">
        <v>37</v>
      </c>
      <c r="G62" s="138" t="s">
        <v>184</v>
      </c>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31"/>
    </row>
    <row r="63" spans="1:72" s="24" customFormat="1" x14ac:dyDescent="0.25">
      <c r="A63" s="131"/>
      <c r="B63" s="132"/>
      <c r="C63" s="111">
        <v>4</v>
      </c>
      <c r="D63" s="111">
        <v>4</v>
      </c>
      <c r="E63" s="177" t="s">
        <v>185</v>
      </c>
      <c r="F63" s="138" t="s">
        <v>186</v>
      </c>
      <c r="G63" s="138" t="s">
        <v>187</v>
      </c>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31"/>
    </row>
    <row r="64" spans="1:72" s="24" customFormat="1" x14ac:dyDescent="0.25">
      <c r="A64" s="131"/>
      <c r="B64" s="132"/>
      <c r="C64" s="152">
        <v>3</v>
      </c>
      <c r="D64" s="158">
        <v>0</v>
      </c>
      <c r="E64" s="166" t="s">
        <v>188</v>
      </c>
      <c r="F64" s="138" t="s">
        <v>189</v>
      </c>
      <c r="G64" s="138" t="s">
        <v>37</v>
      </c>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31"/>
    </row>
    <row r="65" spans="1:15" s="31" customFormat="1" x14ac:dyDescent="0.25">
      <c r="A65" s="175" t="s">
        <v>190</v>
      </c>
      <c r="B65" s="129" t="s">
        <v>191</v>
      </c>
      <c r="C65" s="129">
        <v>15</v>
      </c>
      <c r="D65" s="129">
        <v>0</v>
      </c>
      <c r="E65" s="129" t="s">
        <v>37</v>
      </c>
      <c r="F65" s="138" t="s">
        <v>37</v>
      </c>
      <c r="G65" s="129"/>
      <c r="H65" s="15"/>
      <c r="I65" s="15"/>
      <c r="J65" s="15"/>
      <c r="K65" s="15"/>
      <c r="L65" s="15"/>
      <c r="M65" s="15"/>
      <c r="N65" s="15"/>
      <c r="O65" s="15"/>
    </row>
    <row r="66" spans="1:15" s="31" customFormat="1" ht="78.75" x14ac:dyDescent="0.25">
      <c r="A66" s="139" t="s">
        <v>192</v>
      </c>
      <c r="B66" s="151" t="s">
        <v>193</v>
      </c>
      <c r="C66" s="129">
        <v>15</v>
      </c>
      <c r="D66" s="129">
        <v>15</v>
      </c>
      <c r="E66" s="129" t="s">
        <v>194</v>
      </c>
      <c r="F66" s="138" t="s">
        <v>195</v>
      </c>
      <c r="G66" s="129"/>
      <c r="H66" s="15"/>
      <c r="I66" s="15"/>
      <c r="J66" s="15"/>
      <c r="K66" s="15"/>
      <c r="L66" s="15"/>
      <c r="M66" s="15"/>
      <c r="N66" s="15"/>
      <c r="O66" s="15"/>
    </row>
    <row r="67" spans="1:15" s="31" customFormat="1" x14ac:dyDescent="0.25">
      <c r="A67" s="178"/>
      <c r="B67" s="178"/>
      <c r="C67" s="129">
        <v>14</v>
      </c>
      <c r="D67" s="129">
        <v>14</v>
      </c>
      <c r="E67" s="129" t="s">
        <v>196</v>
      </c>
      <c r="F67" s="138" t="s">
        <v>197</v>
      </c>
      <c r="G67" s="129"/>
      <c r="H67" s="15"/>
      <c r="I67" s="15"/>
      <c r="J67" s="15"/>
      <c r="K67" s="15"/>
      <c r="L67" s="15"/>
      <c r="M67" s="15"/>
      <c r="N67" s="15"/>
      <c r="O67" s="15"/>
    </row>
    <row r="68" spans="1:15" s="31" customFormat="1" ht="78.75" x14ac:dyDescent="0.25">
      <c r="A68" s="178"/>
      <c r="B68" s="178"/>
      <c r="C68" s="129">
        <v>13</v>
      </c>
      <c r="D68" s="129">
        <v>12</v>
      </c>
      <c r="E68" s="129" t="s">
        <v>198</v>
      </c>
      <c r="F68" s="138" t="s">
        <v>199</v>
      </c>
      <c r="G68" s="129"/>
      <c r="H68" s="15"/>
      <c r="I68" s="15"/>
      <c r="J68" s="15"/>
      <c r="K68" s="15"/>
      <c r="L68" s="15"/>
      <c r="M68" s="15"/>
      <c r="N68" s="15"/>
      <c r="O68" s="15"/>
    </row>
    <row r="69" spans="1:15" s="31" customFormat="1" x14ac:dyDescent="0.25">
      <c r="A69" s="178"/>
      <c r="B69" s="178"/>
      <c r="C69" s="129">
        <v>11</v>
      </c>
      <c r="D69" s="129">
        <v>11</v>
      </c>
      <c r="E69" s="129" t="s">
        <v>200</v>
      </c>
      <c r="F69" s="138" t="s">
        <v>201</v>
      </c>
      <c r="G69" s="129"/>
      <c r="H69" s="15"/>
      <c r="I69" s="15"/>
      <c r="J69" s="15"/>
      <c r="K69" s="15"/>
      <c r="L69" s="15"/>
      <c r="M69" s="15"/>
      <c r="N69" s="15"/>
      <c r="O69" s="15"/>
    </row>
    <row r="70" spans="1:15" s="31" customFormat="1" ht="78.75" x14ac:dyDescent="0.25">
      <c r="A70" s="178"/>
      <c r="B70" s="178"/>
      <c r="C70" s="129">
        <v>10</v>
      </c>
      <c r="D70" s="129">
        <v>9</v>
      </c>
      <c r="E70" s="129" t="s">
        <v>202</v>
      </c>
      <c r="F70" s="138" t="s">
        <v>203</v>
      </c>
      <c r="G70" s="129"/>
      <c r="H70" s="15"/>
      <c r="I70" s="15"/>
      <c r="J70" s="15"/>
      <c r="K70" s="15"/>
      <c r="L70" s="15"/>
      <c r="M70" s="15"/>
      <c r="N70" s="15"/>
      <c r="O70" s="15"/>
    </row>
    <row r="71" spans="1:15" s="31" customFormat="1" x14ac:dyDescent="0.25">
      <c r="A71" s="178"/>
      <c r="B71" s="178"/>
      <c r="C71" s="129">
        <v>8</v>
      </c>
      <c r="D71" s="129">
        <v>8</v>
      </c>
      <c r="E71" s="129" t="s">
        <v>204</v>
      </c>
      <c r="F71" s="138" t="s">
        <v>205</v>
      </c>
      <c r="G71" s="129"/>
      <c r="H71" s="15"/>
      <c r="I71" s="15"/>
      <c r="J71" s="15"/>
      <c r="K71" s="15"/>
      <c r="L71" s="15"/>
      <c r="M71" s="15"/>
      <c r="N71" s="15"/>
      <c r="O71" s="15"/>
    </row>
    <row r="72" spans="1:15" s="31" customFormat="1" ht="78.75" x14ac:dyDescent="0.25">
      <c r="A72" s="178"/>
      <c r="B72" s="178"/>
      <c r="C72" s="129">
        <v>7</v>
      </c>
      <c r="D72" s="129">
        <v>6</v>
      </c>
      <c r="E72" s="129" t="s">
        <v>206</v>
      </c>
      <c r="F72" s="138" t="s">
        <v>207</v>
      </c>
      <c r="G72" s="129"/>
      <c r="H72" s="15"/>
      <c r="I72" s="15"/>
      <c r="J72" s="15"/>
      <c r="K72" s="15"/>
      <c r="L72" s="15"/>
      <c r="M72" s="15"/>
      <c r="N72" s="15"/>
      <c r="O72" s="15"/>
    </row>
    <row r="73" spans="1:15" s="31" customFormat="1" x14ac:dyDescent="0.25">
      <c r="A73" s="178"/>
      <c r="B73" s="178"/>
      <c r="C73" s="129">
        <v>5</v>
      </c>
      <c r="D73" s="129">
        <v>5</v>
      </c>
      <c r="E73" s="129" t="s">
        <v>208</v>
      </c>
      <c r="F73" s="138" t="s">
        <v>209</v>
      </c>
      <c r="G73" s="129"/>
      <c r="H73" s="15"/>
      <c r="I73" s="15"/>
      <c r="J73" s="15"/>
      <c r="K73" s="15"/>
      <c r="L73" s="15"/>
      <c r="M73" s="15"/>
      <c r="N73" s="15"/>
      <c r="O73" s="15"/>
    </row>
    <row r="74" spans="1:15" s="31" customFormat="1" ht="78.75" x14ac:dyDescent="0.25">
      <c r="A74" s="178"/>
      <c r="B74" s="178"/>
      <c r="C74" s="129">
        <v>4</v>
      </c>
      <c r="D74" s="129">
        <v>3</v>
      </c>
      <c r="E74" s="129" t="s">
        <v>210</v>
      </c>
      <c r="F74" s="138" t="s">
        <v>211</v>
      </c>
      <c r="G74" s="129"/>
      <c r="H74" s="15"/>
      <c r="I74" s="15"/>
      <c r="J74" s="15"/>
      <c r="K74" s="15"/>
      <c r="L74" s="15"/>
      <c r="M74" s="15"/>
      <c r="N74" s="15"/>
      <c r="O74" s="15"/>
    </row>
    <row r="75" spans="1:15" s="31" customFormat="1" x14ac:dyDescent="0.25">
      <c r="A75" s="178"/>
      <c r="B75" s="178"/>
      <c r="C75" s="129">
        <v>2</v>
      </c>
      <c r="D75" s="129">
        <v>2</v>
      </c>
      <c r="E75" s="129" t="s">
        <v>212</v>
      </c>
      <c r="F75" s="138" t="s">
        <v>213</v>
      </c>
      <c r="G75" s="129"/>
      <c r="H75" s="15"/>
      <c r="I75" s="15"/>
      <c r="J75" s="15"/>
      <c r="K75" s="15"/>
      <c r="L75" s="15"/>
      <c r="M75" s="15"/>
      <c r="N75" s="15"/>
      <c r="O75" s="15"/>
    </row>
    <row r="76" spans="1:15" s="31" customFormat="1" ht="78.75" x14ac:dyDescent="0.25">
      <c r="A76" s="179"/>
      <c r="B76" s="179"/>
      <c r="C76" s="129">
        <v>1</v>
      </c>
      <c r="D76" s="129">
        <v>0</v>
      </c>
      <c r="E76" s="129" t="s">
        <v>214</v>
      </c>
      <c r="F76" s="138" t="s">
        <v>215</v>
      </c>
      <c r="G76" s="129"/>
      <c r="H76" s="15"/>
      <c r="I76" s="15"/>
      <c r="J76" s="15"/>
      <c r="K76" s="15"/>
      <c r="L76" s="15"/>
      <c r="M76" s="15"/>
      <c r="N76" s="15"/>
      <c r="O76" s="15"/>
    </row>
    <row r="77" spans="1:15" s="31" customFormat="1" ht="78.75" x14ac:dyDescent="0.25">
      <c r="A77" s="139" t="s">
        <v>216</v>
      </c>
      <c r="B77" s="151" t="s">
        <v>217</v>
      </c>
      <c r="C77" s="129">
        <v>15</v>
      </c>
      <c r="D77" s="129">
        <v>14</v>
      </c>
      <c r="E77" s="129" t="s">
        <v>218</v>
      </c>
      <c r="F77" s="138" t="s">
        <v>219</v>
      </c>
      <c r="G77" s="129"/>
      <c r="H77" s="15"/>
      <c r="I77" s="15"/>
      <c r="J77" s="15"/>
      <c r="K77" s="15"/>
      <c r="L77" s="15"/>
      <c r="M77" s="15"/>
      <c r="N77" s="15"/>
      <c r="O77" s="15"/>
    </row>
    <row r="78" spans="1:15" s="24" customFormat="1" x14ac:dyDescent="0.25">
      <c r="A78" s="178"/>
      <c r="B78" s="178"/>
      <c r="C78" s="158">
        <v>13</v>
      </c>
      <c r="D78" s="158">
        <v>13</v>
      </c>
      <c r="E78" s="129" t="s">
        <v>220</v>
      </c>
      <c r="F78" s="138" t="s">
        <v>221</v>
      </c>
      <c r="G78" s="129"/>
      <c r="H78" s="15"/>
      <c r="I78" s="15"/>
      <c r="J78" s="15"/>
      <c r="K78" s="15"/>
      <c r="L78" s="15"/>
      <c r="M78" s="15"/>
      <c r="N78" s="15"/>
      <c r="O78" s="15"/>
    </row>
    <row r="79" spans="1:15" s="24" customFormat="1" ht="78.75" x14ac:dyDescent="0.25">
      <c r="A79" s="178"/>
      <c r="B79" s="178"/>
      <c r="C79" s="158">
        <v>12</v>
      </c>
      <c r="D79" s="158">
        <v>11</v>
      </c>
      <c r="E79" s="129" t="s">
        <v>222</v>
      </c>
      <c r="F79" s="138" t="s">
        <v>223</v>
      </c>
      <c r="G79" s="129"/>
      <c r="H79" s="15"/>
      <c r="I79" s="15"/>
      <c r="J79" s="15"/>
      <c r="K79" s="15"/>
      <c r="L79" s="15"/>
      <c r="M79" s="15"/>
      <c r="N79" s="15"/>
      <c r="O79" s="15"/>
    </row>
    <row r="80" spans="1:15" s="24" customFormat="1" x14ac:dyDescent="0.25">
      <c r="A80" s="178"/>
      <c r="B80" s="178"/>
      <c r="C80" s="158">
        <v>10</v>
      </c>
      <c r="D80" s="158">
        <v>10</v>
      </c>
      <c r="E80" s="129" t="s">
        <v>224</v>
      </c>
      <c r="F80" s="138" t="s">
        <v>225</v>
      </c>
      <c r="G80" s="129"/>
      <c r="H80" s="15"/>
      <c r="I80" s="15"/>
      <c r="J80" s="15"/>
      <c r="K80" s="15"/>
      <c r="L80" s="15"/>
      <c r="M80" s="15"/>
      <c r="N80" s="15"/>
      <c r="O80" s="15"/>
    </row>
    <row r="81" spans="1:15" s="24" customFormat="1" ht="78.75" x14ac:dyDescent="0.25">
      <c r="A81" s="178"/>
      <c r="B81" s="178"/>
      <c r="C81" s="158">
        <v>9</v>
      </c>
      <c r="D81" s="158">
        <v>8</v>
      </c>
      <c r="E81" s="129" t="s">
        <v>226</v>
      </c>
      <c r="F81" s="138" t="s">
        <v>227</v>
      </c>
      <c r="G81" s="129"/>
      <c r="H81" s="15"/>
      <c r="I81" s="15"/>
      <c r="J81" s="15"/>
      <c r="K81" s="15"/>
      <c r="L81" s="15"/>
      <c r="M81" s="15"/>
      <c r="N81" s="15"/>
      <c r="O81" s="15"/>
    </row>
    <row r="82" spans="1:15" s="24" customFormat="1" x14ac:dyDescent="0.25">
      <c r="A82" s="178"/>
      <c r="B82" s="178"/>
      <c r="C82" s="158">
        <v>7</v>
      </c>
      <c r="D82" s="158">
        <v>7</v>
      </c>
      <c r="E82" s="129" t="s">
        <v>228</v>
      </c>
      <c r="F82" s="138" t="s">
        <v>229</v>
      </c>
      <c r="G82" s="129"/>
      <c r="H82" s="15"/>
      <c r="I82" s="15"/>
      <c r="J82" s="15"/>
      <c r="K82" s="15"/>
      <c r="L82" s="15"/>
      <c r="M82" s="15"/>
      <c r="N82" s="15"/>
      <c r="O82" s="15"/>
    </row>
    <row r="83" spans="1:15" s="24" customFormat="1" ht="78.75" x14ac:dyDescent="0.25">
      <c r="A83" s="178"/>
      <c r="B83" s="178"/>
      <c r="C83" s="158">
        <v>6</v>
      </c>
      <c r="D83" s="158">
        <v>5</v>
      </c>
      <c r="E83" s="129" t="s">
        <v>230</v>
      </c>
      <c r="F83" s="138" t="s">
        <v>231</v>
      </c>
      <c r="G83" s="129"/>
      <c r="H83" s="15"/>
      <c r="I83" s="15"/>
      <c r="J83" s="15"/>
      <c r="K83" s="15"/>
      <c r="L83" s="15"/>
      <c r="M83" s="15"/>
      <c r="N83" s="15"/>
      <c r="O83" s="15"/>
    </row>
    <row r="84" spans="1:15" s="24" customFormat="1" x14ac:dyDescent="0.25">
      <c r="A84" s="178"/>
      <c r="B84" s="178"/>
      <c r="C84" s="158">
        <v>4</v>
      </c>
      <c r="D84" s="158">
        <v>4</v>
      </c>
      <c r="E84" s="129" t="s">
        <v>232</v>
      </c>
      <c r="F84" s="138" t="s">
        <v>233</v>
      </c>
      <c r="G84" s="129"/>
      <c r="H84" s="15"/>
      <c r="I84" s="15"/>
      <c r="J84" s="15"/>
      <c r="K84" s="15"/>
      <c r="L84" s="15"/>
      <c r="M84" s="15"/>
      <c r="N84" s="15"/>
      <c r="O84" s="15"/>
    </row>
    <row r="85" spans="1:15" s="24" customFormat="1" ht="78.75" x14ac:dyDescent="0.25">
      <c r="A85" s="178"/>
      <c r="B85" s="178"/>
      <c r="C85" s="158">
        <v>3</v>
      </c>
      <c r="D85" s="158">
        <v>2</v>
      </c>
      <c r="E85" s="129" t="s">
        <v>234</v>
      </c>
      <c r="F85" s="138" t="s">
        <v>235</v>
      </c>
      <c r="G85" s="129"/>
      <c r="H85" s="15"/>
      <c r="I85" s="15"/>
      <c r="J85" s="15"/>
      <c r="K85" s="15"/>
      <c r="L85" s="15"/>
      <c r="M85" s="15"/>
      <c r="N85" s="15"/>
      <c r="O85" s="15"/>
    </row>
    <row r="86" spans="1:15" s="24" customFormat="1" x14ac:dyDescent="0.25">
      <c r="A86" s="178"/>
      <c r="B86" s="178"/>
      <c r="C86" s="158">
        <v>1</v>
      </c>
      <c r="D86" s="158">
        <v>1</v>
      </c>
      <c r="E86" s="129" t="s">
        <v>236</v>
      </c>
      <c r="F86" s="138" t="s">
        <v>237</v>
      </c>
      <c r="G86" s="129"/>
      <c r="H86" s="15"/>
      <c r="I86" s="15"/>
      <c r="J86" s="15"/>
      <c r="K86" s="15"/>
      <c r="L86" s="15"/>
      <c r="M86" s="15"/>
      <c r="N86" s="15"/>
      <c r="O86" s="15"/>
    </row>
    <row r="87" spans="1:15" s="24" customFormat="1" x14ac:dyDescent="0.25">
      <c r="A87" s="179"/>
      <c r="B87" s="179"/>
      <c r="C87" s="158">
        <v>0</v>
      </c>
      <c r="D87" s="158">
        <v>0</v>
      </c>
      <c r="E87" s="129" t="s">
        <v>238</v>
      </c>
      <c r="F87" s="138" t="s">
        <v>239</v>
      </c>
      <c r="G87" s="129"/>
      <c r="H87" s="15"/>
      <c r="I87" s="15"/>
      <c r="J87" s="15"/>
      <c r="K87" s="15"/>
      <c r="L87" s="15"/>
      <c r="M87" s="15"/>
      <c r="N87" s="15"/>
      <c r="O87" s="15"/>
    </row>
    <row r="88" spans="1:15" s="27" customFormat="1" x14ac:dyDescent="0.25">
      <c r="A88" s="139" t="s">
        <v>240</v>
      </c>
      <c r="B88" s="151" t="s">
        <v>241</v>
      </c>
      <c r="C88" s="123">
        <v>15</v>
      </c>
      <c r="D88" s="123">
        <v>13</v>
      </c>
      <c r="E88" s="129" t="s">
        <v>242</v>
      </c>
      <c r="F88" s="138" t="s">
        <v>243</v>
      </c>
      <c r="G88" s="129"/>
      <c r="H88" s="15"/>
      <c r="I88" s="15"/>
      <c r="J88" s="15"/>
      <c r="K88" s="15"/>
      <c r="L88" s="15"/>
      <c r="M88" s="15"/>
      <c r="N88" s="15"/>
      <c r="O88" s="15"/>
    </row>
    <row r="89" spans="1:15" s="27" customFormat="1" x14ac:dyDescent="0.25">
      <c r="A89" s="178"/>
      <c r="B89" s="178"/>
      <c r="C89" s="158">
        <v>12</v>
      </c>
      <c r="D89" s="158">
        <v>10</v>
      </c>
      <c r="E89" s="129" t="s">
        <v>37</v>
      </c>
      <c r="F89" s="138" t="s">
        <v>37</v>
      </c>
      <c r="G89" s="129"/>
      <c r="H89" s="15"/>
      <c r="I89" s="15"/>
      <c r="J89" s="15"/>
      <c r="K89" s="15"/>
      <c r="L89" s="15"/>
      <c r="M89" s="15"/>
      <c r="N89" s="15"/>
      <c r="O89" s="15"/>
    </row>
    <row r="90" spans="1:15" s="27" customFormat="1" x14ac:dyDescent="0.25">
      <c r="A90" s="178"/>
      <c r="B90" s="178"/>
      <c r="C90" s="158">
        <v>9</v>
      </c>
      <c r="D90" s="158">
        <v>9</v>
      </c>
      <c r="E90" s="129" t="s">
        <v>244</v>
      </c>
      <c r="F90" s="138" t="s">
        <v>245</v>
      </c>
      <c r="G90" s="129"/>
      <c r="H90" s="15"/>
      <c r="I90" s="15"/>
      <c r="J90" s="15"/>
      <c r="K90" s="15"/>
      <c r="L90" s="15"/>
      <c r="M90" s="15"/>
      <c r="N90" s="15"/>
      <c r="O90" s="15"/>
    </row>
    <row r="91" spans="1:15" s="27" customFormat="1" x14ac:dyDescent="0.25">
      <c r="A91" s="178"/>
      <c r="B91" s="178"/>
      <c r="C91" s="158">
        <v>8</v>
      </c>
      <c r="D91" s="158">
        <v>8</v>
      </c>
      <c r="E91" s="129" t="s">
        <v>246</v>
      </c>
      <c r="F91" s="138" t="s">
        <v>247</v>
      </c>
      <c r="G91" s="129"/>
      <c r="H91" s="15"/>
      <c r="I91" s="15"/>
      <c r="J91" s="15"/>
      <c r="K91" s="15"/>
      <c r="L91" s="15"/>
      <c r="M91" s="15"/>
      <c r="N91" s="15"/>
      <c r="O91" s="15"/>
    </row>
    <row r="92" spans="1:15" s="27" customFormat="1" x14ac:dyDescent="0.25">
      <c r="A92" s="178"/>
      <c r="B92" s="178"/>
      <c r="C92" s="158">
        <v>7</v>
      </c>
      <c r="D92" s="158">
        <v>7</v>
      </c>
      <c r="E92" s="129" t="s">
        <v>248</v>
      </c>
      <c r="F92" s="138" t="s">
        <v>249</v>
      </c>
      <c r="G92" s="129"/>
      <c r="H92" s="15"/>
      <c r="I92" s="15"/>
      <c r="J92" s="15"/>
      <c r="K92" s="15"/>
      <c r="L92" s="15"/>
      <c r="M92" s="15"/>
      <c r="N92" s="15"/>
      <c r="O92" s="15"/>
    </row>
    <row r="93" spans="1:15" s="27" customFormat="1" x14ac:dyDescent="0.25">
      <c r="A93" s="178"/>
      <c r="B93" s="178"/>
      <c r="C93" s="158">
        <v>6</v>
      </c>
      <c r="D93" s="158">
        <v>6</v>
      </c>
      <c r="E93" s="129" t="s">
        <v>250</v>
      </c>
      <c r="F93" s="138" t="s">
        <v>251</v>
      </c>
      <c r="G93" s="129"/>
      <c r="H93" s="15"/>
      <c r="I93" s="15"/>
      <c r="J93" s="15"/>
      <c r="K93" s="15"/>
      <c r="L93" s="15"/>
      <c r="M93" s="15"/>
      <c r="N93" s="15"/>
      <c r="O93" s="15"/>
    </row>
    <row r="94" spans="1:15" s="27" customFormat="1" ht="78.75" x14ac:dyDescent="0.25">
      <c r="A94" s="178"/>
      <c r="B94" s="178"/>
      <c r="C94" s="158">
        <v>5</v>
      </c>
      <c r="D94" s="158">
        <v>4</v>
      </c>
      <c r="E94" s="129" t="s">
        <v>252</v>
      </c>
      <c r="F94" s="138" t="s">
        <v>253</v>
      </c>
      <c r="G94" s="129"/>
      <c r="H94" s="15"/>
      <c r="I94" s="15"/>
      <c r="J94" s="15"/>
      <c r="K94" s="15"/>
      <c r="L94" s="15"/>
      <c r="M94" s="15"/>
      <c r="N94" s="15"/>
      <c r="O94" s="15"/>
    </row>
    <row r="95" spans="1:15" s="27" customFormat="1" x14ac:dyDescent="0.25">
      <c r="A95" s="178"/>
      <c r="B95" s="178"/>
      <c r="C95" s="158">
        <v>3</v>
      </c>
      <c r="D95" s="158">
        <v>3</v>
      </c>
      <c r="E95" s="129" t="s">
        <v>254</v>
      </c>
      <c r="F95" s="138" t="s">
        <v>255</v>
      </c>
      <c r="G95" s="129"/>
      <c r="H95" s="15"/>
      <c r="I95" s="15"/>
      <c r="J95" s="15"/>
      <c r="K95" s="15"/>
      <c r="L95" s="15"/>
      <c r="M95" s="15"/>
      <c r="N95" s="15"/>
      <c r="O95" s="15"/>
    </row>
    <row r="96" spans="1:15" s="27" customFormat="1" ht="78.75" x14ac:dyDescent="0.25">
      <c r="A96" s="178"/>
      <c r="B96" s="178"/>
      <c r="C96" s="158">
        <v>2</v>
      </c>
      <c r="D96" s="158">
        <v>1</v>
      </c>
      <c r="E96" s="129" t="s">
        <v>256</v>
      </c>
      <c r="F96" s="138" t="s">
        <v>257</v>
      </c>
      <c r="G96" s="129"/>
      <c r="H96" s="15"/>
      <c r="I96" s="15"/>
      <c r="J96" s="15"/>
      <c r="K96" s="15"/>
      <c r="L96" s="15"/>
      <c r="M96" s="15"/>
      <c r="N96" s="15"/>
      <c r="O96" s="15"/>
    </row>
    <row r="97" spans="1:15" s="27" customFormat="1" x14ac:dyDescent="0.25">
      <c r="A97" s="179"/>
      <c r="B97" s="179"/>
      <c r="C97" s="158">
        <v>0</v>
      </c>
      <c r="D97" s="158">
        <v>0</v>
      </c>
      <c r="E97" s="129" t="s">
        <v>258</v>
      </c>
      <c r="F97" s="138" t="s">
        <v>259</v>
      </c>
      <c r="G97" s="129"/>
      <c r="H97" s="15"/>
      <c r="I97" s="15"/>
      <c r="J97" s="15"/>
      <c r="K97" s="15"/>
      <c r="L97" s="15"/>
      <c r="M97" s="15"/>
      <c r="N97" s="15"/>
      <c r="O97" s="15"/>
    </row>
    <row r="98" spans="1:15" s="21" customFormat="1" ht="63" x14ac:dyDescent="0.25">
      <c r="A98" s="175" t="s">
        <v>260</v>
      </c>
      <c r="B98" s="129" t="s">
        <v>261</v>
      </c>
      <c r="C98" s="78">
        <v>15</v>
      </c>
      <c r="D98" s="78">
        <v>15</v>
      </c>
      <c r="E98" s="164" t="s">
        <v>262</v>
      </c>
      <c r="F98" s="86" t="s">
        <v>263</v>
      </c>
      <c r="G98" s="86" t="s">
        <v>264</v>
      </c>
      <c r="H98" s="15"/>
      <c r="I98" s="15"/>
      <c r="J98" s="15"/>
      <c r="K98" s="15"/>
      <c r="L98" s="15"/>
      <c r="M98" s="15"/>
      <c r="N98" s="15"/>
      <c r="O98" s="15"/>
    </row>
    <row r="99" spans="1:15" s="27" customFormat="1" x14ac:dyDescent="0.25">
      <c r="A99" s="175"/>
      <c r="B99" s="129"/>
      <c r="C99" s="111">
        <v>14</v>
      </c>
      <c r="D99" s="111">
        <v>14</v>
      </c>
      <c r="E99" s="166" t="s">
        <v>265</v>
      </c>
      <c r="F99" s="90" t="s">
        <v>266</v>
      </c>
      <c r="G99" s="111"/>
      <c r="H99" s="15"/>
      <c r="I99" s="15"/>
      <c r="J99" s="15"/>
      <c r="K99" s="15"/>
      <c r="L99" s="15"/>
      <c r="M99" s="15"/>
      <c r="N99" s="15"/>
      <c r="O99" s="15"/>
    </row>
    <row r="100" spans="1:15" s="27" customFormat="1" x14ac:dyDescent="0.25">
      <c r="A100" s="175"/>
      <c r="B100" s="129"/>
      <c r="C100" s="102">
        <v>13</v>
      </c>
      <c r="D100" s="102">
        <v>13</v>
      </c>
      <c r="E100" s="166" t="s">
        <v>267</v>
      </c>
      <c r="F100" s="112" t="s">
        <v>268</v>
      </c>
      <c r="G100" s="102"/>
      <c r="H100" s="15"/>
      <c r="I100" s="15"/>
      <c r="J100" s="15"/>
      <c r="K100" s="15"/>
      <c r="L100" s="15"/>
      <c r="M100" s="15"/>
      <c r="N100" s="15"/>
      <c r="O100" s="15"/>
    </row>
    <row r="101" spans="1:15" s="27" customFormat="1" x14ac:dyDescent="0.25">
      <c r="A101" s="175"/>
      <c r="B101" s="129"/>
      <c r="C101" s="167">
        <v>12</v>
      </c>
      <c r="D101" s="173">
        <v>12</v>
      </c>
      <c r="E101" s="174" t="s">
        <v>37</v>
      </c>
      <c r="F101" s="104"/>
      <c r="G101" s="111"/>
      <c r="H101" s="15"/>
      <c r="I101" s="15"/>
      <c r="J101" s="15"/>
      <c r="K101" s="15"/>
      <c r="L101" s="15"/>
      <c r="M101" s="15"/>
      <c r="N101" s="15"/>
      <c r="O101" s="15"/>
    </row>
    <row r="102" spans="1:15" s="27" customFormat="1" x14ac:dyDescent="0.25">
      <c r="A102" s="175"/>
      <c r="B102" s="129"/>
      <c r="C102" s="158">
        <v>11</v>
      </c>
      <c r="D102" s="158">
        <v>0</v>
      </c>
      <c r="E102" s="152" t="s">
        <v>269</v>
      </c>
      <c r="F102" s="146" t="s">
        <v>270</v>
      </c>
      <c r="G102" s="152"/>
      <c r="H102" s="15"/>
      <c r="I102" s="15"/>
      <c r="J102" s="15"/>
      <c r="K102" s="15"/>
      <c r="L102" s="15"/>
      <c r="M102" s="15"/>
      <c r="N102" s="15"/>
      <c r="O102" s="15"/>
    </row>
    <row r="103" spans="1:15" s="27" customFormat="1" x14ac:dyDescent="0.25">
      <c r="A103" s="175" t="s">
        <v>271</v>
      </c>
      <c r="B103" s="176" t="s">
        <v>272</v>
      </c>
      <c r="C103" s="129">
        <v>15</v>
      </c>
      <c r="D103" s="129">
        <v>0</v>
      </c>
      <c r="E103" s="171" t="s">
        <v>273</v>
      </c>
      <c r="F103" s="138" t="s">
        <v>274</v>
      </c>
      <c r="G103" s="129"/>
      <c r="H103" s="15"/>
      <c r="I103" s="15"/>
      <c r="J103" s="15"/>
      <c r="K103" s="15"/>
      <c r="L103" s="15"/>
      <c r="M103" s="15"/>
      <c r="N103" s="15"/>
      <c r="O103" s="15"/>
    </row>
    <row r="104" spans="1:15" s="27" customFormat="1" x14ac:dyDescent="0.25">
      <c r="A104" s="180" t="s">
        <v>275</v>
      </c>
      <c r="B104" s="181" t="s">
        <v>276</v>
      </c>
      <c r="C104" s="129">
        <v>15</v>
      </c>
      <c r="D104" s="129">
        <v>15</v>
      </c>
      <c r="E104" s="129" t="s">
        <v>277</v>
      </c>
      <c r="F104" s="138" t="s">
        <v>278</v>
      </c>
      <c r="G104" s="138"/>
      <c r="H104" s="15"/>
      <c r="I104" s="15"/>
      <c r="J104" s="15"/>
      <c r="K104" s="15"/>
      <c r="L104" s="15"/>
      <c r="M104" s="15"/>
      <c r="N104" s="15"/>
      <c r="O104" s="15"/>
    </row>
    <row r="105" spans="1:15" s="27" customFormat="1" ht="220.5" x14ac:dyDescent="0.25">
      <c r="A105" s="182"/>
      <c r="B105" s="122"/>
      <c r="C105" s="129">
        <v>14</v>
      </c>
      <c r="D105" s="129">
        <v>0</v>
      </c>
      <c r="E105" s="129" t="s">
        <v>279</v>
      </c>
      <c r="F105" s="138" t="s">
        <v>280</v>
      </c>
      <c r="G105" s="138" t="s">
        <v>281</v>
      </c>
      <c r="H105" s="15"/>
      <c r="I105" s="15"/>
      <c r="J105" s="15"/>
      <c r="K105" s="15"/>
      <c r="L105" s="15"/>
      <c r="M105" s="15"/>
      <c r="N105" s="15"/>
      <c r="O105" s="15"/>
    </row>
    <row r="106" spans="1:15" s="27" customFormat="1" x14ac:dyDescent="0.25">
      <c r="A106" s="139" t="s">
        <v>282</v>
      </c>
      <c r="B106" s="151" t="s">
        <v>283</v>
      </c>
      <c r="C106" s="129">
        <v>15</v>
      </c>
      <c r="D106" s="129">
        <v>10</v>
      </c>
      <c r="E106" s="129" t="s">
        <v>37</v>
      </c>
      <c r="F106" s="138" t="s">
        <v>37</v>
      </c>
      <c r="G106" s="138"/>
      <c r="H106" s="15"/>
      <c r="I106" s="15"/>
      <c r="J106" s="15"/>
      <c r="K106" s="15"/>
      <c r="L106" s="15"/>
      <c r="M106" s="15"/>
      <c r="N106" s="15"/>
      <c r="O106" s="15"/>
    </row>
    <row r="107" spans="1:15" s="27" customFormat="1" x14ac:dyDescent="0.25">
      <c r="A107" s="131"/>
      <c r="B107" s="132"/>
      <c r="C107" s="129">
        <v>9</v>
      </c>
      <c r="D107" s="129">
        <v>9</v>
      </c>
      <c r="E107" s="129" t="s">
        <v>37</v>
      </c>
      <c r="F107" s="138" t="s">
        <v>37</v>
      </c>
      <c r="G107" s="138"/>
      <c r="H107" s="15"/>
      <c r="I107" s="15"/>
      <c r="J107" s="15"/>
      <c r="K107" s="15"/>
      <c r="L107" s="15"/>
      <c r="M107" s="15"/>
      <c r="N107" s="15"/>
      <c r="O107" s="15"/>
    </row>
    <row r="108" spans="1:15" s="27" customFormat="1" ht="31.5" x14ac:dyDescent="0.25">
      <c r="A108" s="131"/>
      <c r="B108" s="132"/>
      <c r="C108" s="129">
        <v>8</v>
      </c>
      <c r="D108" s="138">
        <v>8</v>
      </c>
      <c r="E108" s="129" t="s">
        <v>284</v>
      </c>
      <c r="F108" s="138" t="s">
        <v>285</v>
      </c>
      <c r="G108" s="138"/>
      <c r="H108" s="15"/>
      <c r="I108" s="15"/>
      <c r="J108" s="15"/>
      <c r="K108" s="15"/>
      <c r="L108" s="15"/>
      <c r="M108" s="15"/>
      <c r="N108" s="15"/>
      <c r="O108" s="15"/>
    </row>
    <row r="109" spans="1:15" s="27" customFormat="1" x14ac:dyDescent="0.25">
      <c r="A109" s="178"/>
      <c r="B109" s="178"/>
      <c r="C109" s="129">
        <v>7</v>
      </c>
      <c r="D109" s="129">
        <v>6</v>
      </c>
      <c r="E109" s="129" t="s">
        <v>37</v>
      </c>
      <c r="F109" s="138" t="s">
        <v>37</v>
      </c>
      <c r="G109" s="138"/>
      <c r="H109" s="15"/>
      <c r="I109" s="15"/>
      <c r="J109" s="15"/>
      <c r="K109" s="15"/>
      <c r="L109" s="15"/>
      <c r="M109" s="15"/>
      <c r="N109" s="15"/>
      <c r="O109" s="15"/>
    </row>
    <row r="110" spans="1:15" s="27" customFormat="1" ht="31.5" x14ac:dyDescent="0.25">
      <c r="A110" s="178"/>
      <c r="B110" s="178"/>
      <c r="C110" s="129">
        <v>5</v>
      </c>
      <c r="D110" s="129">
        <v>4</v>
      </c>
      <c r="E110" s="129" t="s">
        <v>286</v>
      </c>
      <c r="F110" s="138" t="s">
        <v>287</v>
      </c>
      <c r="G110" s="138"/>
      <c r="H110" s="15"/>
      <c r="I110" s="15"/>
      <c r="J110" s="15"/>
      <c r="K110" s="15"/>
      <c r="L110" s="15"/>
      <c r="M110" s="15"/>
      <c r="N110" s="15"/>
      <c r="O110" s="15"/>
    </row>
    <row r="111" spans="1:15" s="27" customFormat="1" x14ac:dyDescent="0.25">
      <c r="A111" s="178"/>
      <c r="B111" s="178"/>
      <c r="C111" s="129">
        <v>3</v>
      </c>
      <c r="D111" s="129">
        <v>2</v>
      </c>
      <c r="E111" s="129" t="s">
        <v>37</v>
      </c>
      <c r="F111" s="138" t="s">
        <v>37</v>
      </c>
      <c r="G111" s="138"/>
      <c r="H111" s="15"/>
      <c r="I111" s="15"/>
      <c r="J111" s="15"/>
      <c r="K111" s="15"/>
      <c r="L111" s="15"/>
      <c r="M111" s="15"/>
      <c r="N111" s="15"/>
      <c r="O111" s="15"/>
    </row>
    <row r="112" spans="1:15" s="27" customFormat="1" ht="31.5" x14ac:dyDescent="0.25">
      <c r="A112" s="178"/>
      <c r="B112" s="178"/>
      <c r="C112" s="129">
        <v>1</v>
      </c>
      <c r="D112" s="129">
        <v>1</v>
      </c>
      <c r="E112" s="129" t="s">
        <v>288</v>
      </c>
      <c r="F112" s="138" t="s">
        <v>289</v>
      </c>
      <c r="G112" s="138"/>
      <c r="H112" s="15"/>
      <c r="I112" s="15"/>
      <c r="J112" s="15"/>
      <c r="K112" s="15"/>
      <c r="L112" s="15"/>
      <c r="M112" s="15"/>
      <c r="N112" s="15"/>
      <c r="O112" s="15"/>
    </row>
    <row r="113" spans="1:15" s="27" customFormat="1" ht="47.25" x14ac:dyDescent="0.25">
      <c r="A113" s="179"/>
      <c r="B113" s="179"/>
      <c r="C113" s="129">
        <v>0</v>
      </c>
      <c r="D113" s="129">
        <v>0</v>
      </c>
      <c r="E113" s="129" t="s">
        <v>290</v>
      </c>
      <c r="F113" s="138" t="s">
        <v>291</v>
      </c>
      <c r="G113" s="138"/>
      <c r="H113" s="15"/>
      <c r="I113" s="15"/>
      <c r="J113" s="15"/>
      <c r="K113" s="15"/>
      <c r="L113" s="15"/>
      <c r="M113" s="15"/>
      <c r="N113" s="15"/>
      <c r="O113" s="15"/>
    </row>
    <row r="114" spans="1:15" s="23" customFormat="1" x14ac:dyDescent="0.25">
      <c r="A114" s="139" t="s">
        <v>292</v>
      </c>
      <c r="B114" s="140" t="s">
        <v>293</v>
      </c>
      <c r="C114" s="141">
        <v>15</v>
      </c>
      <c r="D114" s="141">
        <v>11</v>
      </c>
      <c r="E114" s="141" t="s">
        <v>37</v>
      </c>
      <c r="F114" s="142"/>
      <c r="G114" s="141"/>
      <c r="H114" s="15"/>
      <c r="I114" s="15"/>
      <c r="J114" s="15"/>
      <c r="K114" s="15"/>
      <c r="L114" s="15"/>
      <c r="M114" s="15"/>
      <c r="N114" s="15"/>
      <c r="O114" s="15"/>
    </row>
    <row r="115" spans="1:15" s="24" customFormat="1" ht="31.5" x14ac:dyDescent="0.25">
      <c r="A115" s="131"/>
      <c r="B115" s="143"/>
      <c r="C115" s="144">
        <v>10</v>
      </c>
      <c r="D115" s="144">
        <v>1</v>
      </c>
      <c r="E115" s="144" t="s">
        <v>294</v>
      </c>
      <c r="F115" s="145" t="s">
        <v>121</v>
      </c>
      <c r="G115" s="146" t="s">
        <v>122</v>
      </c>
      <c r="H115" s="15"/>
      <c r="I115" s="15"/>
      <c r="J115" s="15"/>
      <c r="K115" s="15"/>
      <c r="L115" s="15"/>
      <c r="M115" s="15"/>
      <c r="N115" s="15"/>
      <c r="O115" s="15"/>
    </row>
    <row r="116" spans="1:15" s="25" customFormat="1" ht="48.75" customHeight="1" x14ac:dyDescent="0.25">
      <c r="A116" s="147"/>
      <c r="B116" s="148"/>
      <c r="C116" s="149">
        <v>0</v>
      </c>
      <c r="D116" s="149">
        <v>0</v>
      </c>
      <c r="E116" s="149" t="s">
        <v>295</v>
      </c>
      <c r="F116" s="150" t="s">
        <v>296</v>
      </c>
      <c r="G116" s="150"/>
      <c r="H116" s="15"/>
      <c r="I116" s="15"/>
      <c r="J116" s="15"/>
      <c r="K116" s="15"/>
      <c r="L116" s="15"/>
      <c r="M116" s="15"/>
      <c r="N116" s="15"/>
      <c r="O116" s="15"/>
    </row>
    <row r="117" spans="1:15" s="24" customFormat="1" x14ac:dyDescent="0.25">
      <c r="A117" s="139" t="s">
        <v>297</v>
      </c>
      <c r="B117" s="151" t="s">
        <v>298</v>
      </c>
      <c r="C117" s="152">
        <v>15</v>
      </c>
      <c r="D117" s="152">
        <v>10</v>
      </c>
      <c r="E117" s="153" t="s">
        <v>37</v>
      </c>
      <c r="F117" s="154"/>
      <c r="G117" s="146"/>
      <c r="H117" s="15"/>
      <c r="I117" s="15"/>
      <c r="J117" s="15"/>
      <c r="K117" s="15"/>
      <c r="L117" s="15"/>
      <c r="M117" s="15"/>
      <c r="N117" s="15"/>
      <c r="O117" s="15"/>
    </row>
    <row r="118" spans="1:15" s="25" customFormat="1" ht="47.25" x14ac:dyDescent="0.25">
      <c r="A118" s="147"/>
      <c r="B118" s="155"/>
      <c r="C118" s="149">
        <v>9</v>
      </c>
      <c r="D118" s="149">
        <v>0</v>
      </c>
      <c r="E118" s="156" t="s">
        <v>299</v>
      </c>
      <c r="F118" s="125" t="s">
        <v>300</v>
      </c>
      <c r="G118" s="157" t="s">
        <v>129</v>
      </c>
      <c r="H118" s="15"/>
      <c r="I118" s="15"/>
      <c r="J118" s="15"/>
      <c r="K118" s="15"/>
      <c r="L118" s="15"/>
      <c r="M118" s="15"/>
      <c r="N118" s="15"/>
      <c r="O118" s="15"/>
    </row>
    <row r="119" spans="1:15" s="23" customFormat="1" x14ac:dyDescent="0.25">
      <c r="A119" s="139" t="s">
        <v>301</v>
      </c>
      <c r="B119" s="140" t="s">
        <v>302</v>
      </c>
      <c r="C119" s="141">
        <v>15</v>
      </c>
      <c r="D119" s="141">
        <v>11</v>
      </c>
      <c r="E119" s="141" t="s">
        <v>37</v>
      </c>
      <c r="F119" s="142"/>
      <c r="G119" s="141"/>
      <c r="H119" s="15"/>
      <c r="I119" s="15"/>
      <c r="J119" s="15"/>
      <c r="K119" s="15"/>
      <c r="L119" s="15"/>
      <c r="M119" s="15"/>
      <c r="N119" s="15"/>
      <c r="O119" s="15"/>
    </row>
    <row r="120" spans="1:15" s="24" customFormat="1" ht="31.5" x14ac:dyDescent="0.25">
      <c r="A120" s="131"/>
      <c r="B120" s="143"/>
      <c r="C120" s="144">
        <v>10</v>
      </c>
      <c r="D120" s="144">
        <v>1</v>
      </c>
      <c r="E120" s="144" t="s">
        <v>303</v>
      </c>
      <c r="F120" s="145" t="s">
        <v>121</v>
      </c>
      <c r="G120" s="146" t="s">
        <v>122</v>
      </c>
      <c r="H120" s="15"/>
      <c r="I120" s="15"/>
      <c r="J120" s="15"/>
      <c r="K120" s="15"/>
      <c r="L120" s="15"/>
      <c r="M120" s="15"/>
      <c r="N120" s="15"/>
      <c r="O120" s="15"/>
    </row>
    <row r="121" spans="1:15" s="25" customFormat="1" ht="46.5" customHeight="1" x14ac:dyDescent="0.25">
      <c r="A121" s="147"/>
      <c r="B121" s="148"/>
      <c r="C121" s="149">
        <v>0</v>
      </c>
      <c r="D121" s="149">
        <v>0</v>
      </c>
      <c r="E121" s="149" t="s">
        <v>304</v>
      </c>
      <c r="F121" s="150" t="s">
        <v>305</v>
      </c>
      <c r="G121" s="150"/>
      <c r="H121" s="15"/>
      <c r="I121" s="15"/>
      <c r="J121" s="15"/>
      <c r="K121" s="15"/>
      <c r="L121" s="15"/>
      <c r="M121" s="15"/>
      <c r="N121" s="15"/>
      <c r="O121" s="15"/>
    </row>
    <row r="122" spans="1:15" s="24" customFormat="1" x14ac:dyDescent="0.25">
      <c r="A122" s="139" t="s">
        <v>306</v>
      </c>
      <c r="B122" s="151" t="s">
        <v>307</v>
      </c>
      <c r="C122" s="152">
        <v>15</v>
      </c>
      <c r="D122" s="152">
        <v>10</v>
      </c>
      <c r="E122" s="153" t="s">
        <v>37</v>
      </c>
      <c r="F122" s="154"/>
      <c r="G122" s="146"/>
      <c r="H122" s="15"/>
      <c r="I122" s="15"/>
      <c r="J122" s="15"/>
      <c r="K122" s="15"/>
      <c r="L122" s="15"/>
      <c r="M122" s="15"/>
      <c r="N122" s="15"/>
      <c r="O122" s="15"/>
    </row>
    <row r="123" spans="1:15" s="25" customFormat="1" ht="47.25" x14ac:dyDescent="0.25">
      <c r="A123" s="147"/>
      <c r="B123" s="155"/>
      <c r="C123" s="149">
        <v>9</v>
      </c>
      <c r="D123" s="149">
        <v>0</v>
      </c>
      <c r="E123" s="156" t="s">
        <v>308</v>
      </c>
      <c r="F123" s="125" t="s">
        <v>309</v>
      </c>
      <c r="G123" s="157" t="s">
        <v>129</v>
      </c>
      <c r="H123" s="15"/>
      <c r="I123" s="15"/>
      <c r="J123" s="15"/>
      <c r="K123" s="15"/>
      <c r="L123" s="15"/>
      <c r="M123" s="15"/>
      <c r="N123" s="15"/>
      <c r="O123" s="15"/>
    </row>
    <row r="124" spans="1:15" s="23" customFormat="1" x14ac:dyDescent="0.25">
      <c r="A124" s="139" t="s">
        <v>310</v>
      </c>
      <c r="B124" s="140" t="s">
        <v>311</v>
      </c>
      <c r="C124" s="141">
        <v>15</v>
      </c>
      <c r="D124" s="141">
        <v>11</v>
      </c>
      <c r="E124" s="141" t="s">
        <v>37</v>
      </c>
      <c r="F124" s="142"/>
      <c r="G124" s="141"/>
      <c r="H124" s="15"/>
      <c r="I124" s="15"/>
      <c r="J124" s="15"/>
      <c r="K124" s="15"/>
      <c r="L124" s="15"/>
      <c r="M124" s="15"/>
      <c r="N124" s="15"/>
      <c r="O124" s="15"/>
    </row>
    <row r="125" spans="1:15" s="24" customFormat="1" ht="31.5" x14ac:dyDescent="0.25">
      <c r="A125" s="131"/>
      <c r="B125" s="143"/>
      <c r="C125" s="144">
        <v>10</v>
      </c>
      <c r="D125" s="144">
        <v>1</v>
      </c>
      <c r="E125" s="144" t="s">
        <v>312</v>
      </c>
      <c r="F125" s="145" t="s">
        <v>121</v>
      </c>
      <c r="G125" s="146" t="s">
        <v>122</v>
      </c>
      <c r="H125" s="15"/>
      <c r="I125" s="15"/>
      <c r="J125" s="15"/>
      <c r="K125" s="15"/>
      <c r="L125" s="15"/>
      <c r="M125" s="15"/>
      <c r="N125" s="15"/>
      <c r="O125" s="15"/>
    </row>
    <row r="126" spans="1:15" s="25" customFormat="1" ht="48" customHeight="1" x14ac:dyDescent="0.25">
      <c r="A126" s="147"/>
      <c r="B126" s="148"/>
      <c r="C126" s="149">
        <v>0</v>
      </c>
      <c r="D126" s="149">
        <v>0</v>
      </c>
      <c r="E126" s="149" t="s">
        <v>313</v>
      </c>
      <c r="F126" s="150" t="s">
        <v>314</v>
      </c>
      <c r="G126" s="150"/>
      <c r="H126" s="15"/>
      <c r="I126" s="15"/>
      <c r="J126" s="15"/>
      <c r="K126" s="15"/>
      <c r="L126" s="15"/>
      <c r="M126" s="15"/>
      <c r="N126" s="15"/>
      <c r="O126" s="15"/>
    </row>
    <row r="127" spans="1:15" s="24" customFormat="1" x14ac:dyDescent="0.25">
      <c r="A127" s="139" t="s">
        <v>315</v>
      </c>
      <c r="B127" s="151" t="s">
        <v>316</v>
      </c>
      <c r="C127" s="152">
        <v>15</v>
      </c>
      <c r="D127" s="152">
        <v>10</v>
      </c>
      <c r="E127" s="153" t="s">
        <v>37</v>
      </c>
      <c r="F127" s="183"/>
      <c r="G127" s="184"/>
      <c r="H127" s="15"/>
      <c r="I127" s="15"/>
      <c r="J127" s="15"/>
      <c r="K127" s="15"/>
      <c r="L127" s="15"/>
      <c r="M127" s="15"/>
      <c r="N127" s="15"/>
      <c r="O127" s="15"/>
    </row>
    <row r="128" spans="1:15" s="25" customFormat="1" ht="47.25" x14ac:dyDescent="0.25">
      <c r="A128" s="135"/>
      <c r="B128" s="136"/>
      <c r="C128" s="149">
        <v>9</v>
      </c>
      <c r="D128" s="149">
        <v>0</v>
      </c>
      <c r="E128" s="156" t="s">
        <v>317</v>
      </c>
      <c r="F128" s="185" t="s">
        <v>318</v>
      </c>
      <c r="G128" s="157" t="s">
        <v>129</v>
      </c>
      <c r="H128" s="15"/>
      <c r="I128" s="15"/>
      <c r="J128" s="15"/>
      <c r="K128" s="15"/>
      <c r="L128" s="15"/>
      <c r="M128" s="15"/>
      <c r="N128" s="15"/>
      <c r="O128" s="15"/>
    </row>
    <row r="129" spans="1:15" s="27" customFormat="1" x14ac:dyDescent="0.25">
      <c r="A129" s="186" t="s">
        <v>319</v>
      </c>
      <c r="B129" s="187" t="s">
        <v>320</v>
      </c>
      <c r="C129" s="188">
        <v>15</v>
      </c>
      <c r="D129" s="189">
        <v>0</v>
      </c>
      <c r="E129" s="190" t="s">
        <v>37</v>
      </c>
      <c r="F129" s="191" t="s">
        <v>37</v>
      </c>
      <c r="G129" s="191"/>
      <c r="H129" s="15"/>
      <c r="I129" s="15"/>
      <c r="J129" s="15"/>
      <c r="K129" s="15"/>
      <c r="L129" s="15"/>
      <c r="M129" s="15"/>
      <c r="N129" s="15"/>
      <c r="O129" s="15"/>
    </row>
    <row r="130" spans="1:15" s="27" customFormat="1" x14ac:dyDescent="0.25">
      <c r="A130" s="186" t="s">
        <v>321</v>
      </c>
      <c r="B130" s="187" t="s">
        <v>322</v>
      </c>
      <c r="C130" s="192">
        <v>15</v>
      </c>
      <c r="D130" s="193">
        <v>0</v>
      </c>
      <c r="E130" s="129" t="s">
        <v>37</v>
      </c>
      <c r="F130" s="194" t="s">
        <v>37</v>
      </c>
      <c r="G130" s="195"/>
      <c r="H130" s="15"/>
      <c r="I130" s="15"/>
      <c r="J130" s="15"/>
      <c r="K130" s="15"/>
      <c r="L130" s="15"/>
      <c r="M130" s="15"/>
      <c r="N130" s="15"/>
      <c r="O130" s="15"/>
    </row>
    <row r="133" spans="1:15" x14ac:dyDescent="0.25">
      <c r="F133" s="33"/>
    </row>
    <row r="134" spans="1:15" x14ac:dyDescent="0.25">
      <c r="F134" s="33"/>
    </row>
    <row r="135" spans="1:15" x14ac:dyDescent="0.25">
      <c r="F135" s="33"/>
    </row>
    <row r="136" spans="1:15" x14ac:dyDescent="0.25">
      <c r="F136" s="33"/>
    </row>
    <row r="137" spans="1:15" x14ac:dyDescent="0.25">
      <c r="F137" s="33"/>
    </row>
    <row r="138" spans="1:15" x14ac:dyDescent="0.25">
      <c r="F138" s="33"/>
    </row>
    <row r="139" spans="1:15" s="33" customFormat="1" x14ac:dyDescent="0.25">
      <c r="A139" s="32"/>
      <c r="H139" s="15"/>
      <c r="I139" s="15"/>
      <c r="J139" s="15"/>
      <c r="K139" s="15"/>
      <c r="L139" s="15"/>
      <c r="M139" s="15"/>
      <c r="N139" s="15"/>
      <c r="O139" s="15"/>
    </row>
    <row r="140" spans="1:15" s="33" customFormat="1" x14ac:dyDescent="0.25">
      <c r="A140" s="32"/>
      <c r="H140" s="15"/>
      <c r="I140" s="15"/>
      <c r="J140" s="15"/>
      <c r="K140" s="15"/>
      <c r="L140" s="15"/>
      <c r="M140" s="15"/>
      <c r="N140" s="15"/>
      <c r="O140" s="15"/>
    </row>
    <row r="141" spans="1:15" s="33" customFormat="1" x14ac:dyDescent="0.25">
      <c r="A141" s="32"/>
      <c r="H141" s="15"/>
      <c r="I141" s="15"/>
      <c r="J141" s="15"/>
      <c r="K141" s="15"/>
      <c r="L141" s="15"/>
      <c r="M141" s="15"/>
      <c r="N141" s="15"/>
      <c r="O141" s="15"/>
    </row>
    <row r="142" spans="1:15" s="33" customFormat="1" x14ac:dyDescent="0.25">
      <c r="A142" s="32"/>
      <c r="H142" s="15"/>
      <c r="I142" s="15"/>
      <c r="J142" s="15"/>
      <c r="K142" s="15"/>
      <c r="L142" s="15"/>
      <c r="M142" s="15"/>
      <c r="N142" s="15"/>
      <c r="O142" s="15"/>
    </row>
    <row r="143" spans="1:15" s="33" customFormat="1" x14ac:dyDescent="0.25">
      <c r="A143" s="32"/>
      <c r="H143" s="15"/>
      <c r="I143" s="15"/>
      <c r="J143" s="15"/>
      <c r="K143" s="15"/>
      <c r="L143" s="15"/>
      <c r="M143" s="15"/>
      <c r="N143" s="15"/>
      <c r="O143" s="15"/>
    </row>
    <row r="144" spans="1:15" s="33" customFormat="1" x14ac:dyDescent="0.25">
      <c r="A144" s="32"/>
      <c r="H144" s="15"/>
      <c r="I144" s="15"/>
      <c r="J144" s="15"/>
      <c r="K144" s="15"/>
      <c r="L144" s="15"/>
      <c r="M144" s="15"/>
      <c r="N144" s="15"/>
      <c r="O144" s="15"/>
    </row>
    <row r="145" spans="1:15" s="33" customFormat="1" x14ac:dyDescent="0.25">
      <c r="A145" s="32"/>
      <c r="H145" s="15"/>
      <c r="I145" s="15"/>
      <c r="J145" s="15"/>
      <c r="K145" s="15"/>
      <c r="L145" s="15"/>
      <c r="M145" s="15"/>
      <c r="N145" s="15"/>
      <c r="O145" s="15"/>
    </row>
    <row r="146" spans="1:15" s="33" customFormat="1" x14ac:dyDescent="0.25">
      <c r="A146" s="32"/>
      <c r="H146" s="15"/>
      <c r="I146" s="15"/>
      <c r="J146" s="15"/>
      <c r="K146" s="15"/>
      <c r="L146" s="15"/>
      <c r="M146" s="15"/>
      <c r="N146" s="15"/>
      <c r="O146" s="15"/>
    </row>
    <row r="147" spans="1:15" s="33" customFormat="1" x14ac:dyDescent="0.25">
      <c r="A147" s="32"/>
      <c r="H147" s="15"/>
      <c r="I147" s="15"/>
      <c r="J147" s="15"/>
      <c r="K147" s="15"/>
      <c r="L147" s="15"/>
      <c r="M147" s="15"/>
      <c r="N147" s="15"/>
      <c r="O147" s="15"/>
    </row>
    <row r="148" spans="1:15" s="33" customFormat="1" x14ac:dyDescent="0.25">
      <c r="A148" s="32"/>
      <c r="H148" s="15"/>
      <c r="I148" s="15"/>
      <c r="J148" s="15"/>
      <c r="K148" s="15"/>
      <c r="L148" s="15"/>
      <c r="M148" s="15"/>
      <c r="N148" s="15"/>
      <c r="O148" s="15"/>
    </row>
    <row r="149" spans="1:15" s="33" customFormat="1" x14ac:dyDescent="0.25">
      <c r="A149" s="32"/>
      <c r="H149" s="15"/>
      <c r="I149" s="15"/>
      <c r="J149" s="15"/>
      <c r="K149" s="15"/>
      <c r="L149" s="15"/>
      <c r="M149" s="15"/>
      <c r="N149" s="15"/>
      <c r="O149" s="15"/>
    </row>
  </sheetData>
  <sheetProtection selectLockedCells="1" selectUnlockedCells="1"/>
  <mergeCells count="44">
    <mergeCell ref="B106:B113"/>
    <mergeCell ref="A106:A113"/>
    <mergeCell ref="B66:B76"/>
    <mergeCell ref="A66:A76"/>
    <mergeCell ref="A77:A87"/>
    <mergeCell ref="B77:B87"/>
    <mergeCell ref="A88:A97"/>
    <mergeCell ref="B88:B97"/>
    <mergeCell ref="A47:A48"/>
    <mergeCell ref="B47:B48"/>
    <mergeCell ref="A49:A53"/>
    <mergeCell ref="B49:B53"/>
    <mergeCell ref="A55:A59"/>
    <mergeCell ref="B55:B59"/>
    <mergeCell ref="B39:B41"/>
    <mergeCell ref="A42:A43"/>
    <mergeCell ref="B42:B43"/>
    <mergeCell ref="A45:A46"/>
    <mergeCell ref="B45:B46"/>
    <mergeCell ref="A39:A41"/>
    <mergeCell ref="A37:A38"/>
    <mergeCell ref="B37:B38"/>
    <mergeCell ref="A2:A17"/>
    <mergeCell ref="B2:B17"/>
    <mergeCell ref="A19:A32"/>
    <mergeCell ref="B19:B32"/>
    <mergeCell ref="A34:A36"/>
    <mergeCell ref="B34:B36"/>
    <mergeCell ref="A61:A64"/>
    <mergeCell ref="B61:B64"/>
    <mergeCell ref="B122:B123"/>
    <mergeCell ref="A127:A128"/>
    <mergeCell ref="B127:B128"/>
    <mergeCell ref="A104:A105"/>
    <mergeCell ref="B104:B105"/>
    <mergeCell ref="A114:A116"/>
    <mergeCell ref="B114:B116"/>
    <mergeCell ref="A117:A118"/>
    <mergeCell ref="B117:B118"/>
    <mergeCell ref="A119:A121"/>
    <mergeCell ref="B119:B121"/>
    <mergeCell ref="A122:A123"/>
    <mergeCell ref="A124:A126"/>
    <mergeCell ref="B124:B126"/>
  </mergeCells>
  <phoneticPr fontId="1" type="noConversion"/>
  <pageMargins left="0.7" right="0.7" top="0.75" bottom="0.75" header="0.51180555555555551" footer="0.51180555555555551"/>
  <pageSetup paperSize="9" scale="67" firstPageNumber="0" fitToHeight="0" orientation="landscape" r:id="rId1"/>
  <headerFooter alignWithMargins="0"/>
  <rowBreaks count="4" manualBreakCount="4">
    <brk id="25" max="6" man="1"/>
    <brk id="42" max="6" man="1"/>
    <brk id="71" max="6" man="1"/>
    <brk id="88" max="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FF-E452-43C0-87F1-2C765461B197}">
  <sheetPr>
    <pageSetUpPr fitToPage="1"/>
  </sheetPr>
  <dimension ref="A1:L84"/>
  <sheetViews>
    <sheetView topLeftCell="A43" zoomScaleNormal="100" workbookViewId="0">
      <pane xSplit="2" topLeftCell="C1" activePane="topRight" state="frozen"/>
      <selection pane="topRight" activeCell="G21" sqref="A21:G52"/>
    </sheetView>
  </sheetViews>
  <sheetFormatPr defaultColWidth="8.875" defaultRowHeight="16.5" x14ac:dyDescent="0.25"/>
  <cols>
    <col min="1" max="1" width="17.25" style="15" customWidth="1"/>
    <col min="2" max="2" width="25.875" style="15" customWidth="1"/>
    <col min="3" max="3" width="33.125" style="49" customWidth="1"/>
    <col min="4" max="4" width="50.25" style="49" customWidth="1"/>
    <col min="5" max="6" width="15.25" style="15" customWidth="1"/>
    <col min="7" max="7" width="49.875" style="15" customWidth="1"/>
    <col min="8" max="16384" width="8.875" style="15"/>
  </cols>
  <sheetData>
    <row r="1" spans="1:4" ht="39" x14ac:dyDescent="0.25">
      <c r="A1" s="17" t="s">
        <v>21</v>
      </c>
      <c r="B1" s="17" t="s">
        <v>22</v>
      </c>
      <c r="C1" s="17" t="s">
        <v>26</v>
      </c>
      <c r="D1" s="17" t="s">
        <v>27</v>
      </c>
    </row>
    <row r="2" spans="1:4" x14ac:dyDescent="0.25">
      <c r="A2" s="35">
        <v>420</v>
      </c>
      <c r="B2" s="35" t="s">
        <v>323</v>
      </c>
      <c r="C2" s="35" t="s">
        <v>324</v>
      </c>
      <c r="D2" s="35" t="s">
        <v>325</v>
      </c>
    </row>
    <row r="3" spans="1:4" x14ac:dyDescent="0.25">
      <c r="A3" s="35">
        <v>421</v>
      </c>
      <c r="B3" s="35" t="s">
        <v>326</v>
      </c>
      <c r="C3" s="35" t="s">
        <v>327</v>
      </c>
      <c r="D3" s="35" t="s">
        <v>325</v>
      </c>
    </row>
    <row r="4" spans="1:4" x14ac:dyDescent="0.25">
      <c r="A4" s="72" t="s">
        <v>328</v>
      </c>
      <c r="B4" s="73"/>
      <c r="C4" s="73"/>
      <c r="D4" s="74"/>
    </row>
    <row r="5" spans="1:4" x14ac:dyDescent="0.25">
      <c r="A5" s="69" t="s">
        <v>329</v>
      </c>
      <c r="B5" s="70"/>
      <c r="C5" s="70"/>
      <c r="D5" s="71"/>
    </row>
    <row r="6" spans="1:4" x14ac:dyDescent="0.25">
      <c r="A6" s="36">
        <v>422</v>
      </c>
      <c r="B6" s="37" t="s">
        <v>330</v>
      </c>
      <c r="C6" s="37" t="s">
        <v>331</v>
      </c>
      <c r="D6" s="38"/>
    </row>
    <row r="7" spans="1:4" x14ac:dyDescent="0.25">
      <c r="A7" s="39">
        <v>423</v>
      </c>
      <c r="B7" s="35" t="s">
        <v>332</v>
      </c>
      <c r="C7" s="35" t="s">
        <v>333</v>
      </c>
      <c r="D7" s="40"/>
    </row>
    <row r="8" spans="1:4" x14ac:dyDescent="0.25">
      <c r="A8" s="39">
        <v>424</v>
      </c>
      <c r="B8" s="35" t="s">
        <v>334</v>
      </c>
      <c r="C8" s="35" t="s">
        <v>335</v>
      </c>
      <c r="D8" s="40"/>
    </row>
    <row r="9" spans="1:4" x14ac:dyDescent="0.25">
      <c r="A9" s="39">
        <v>425</v>
      </c>
      <c r="B9" s="35" t="s">
        <v>336</v>
      </c>
      <c r="C9" s="35" t="s">
        <v>337</v>
      </c>
      <c r="D9" s="40"/>
    </row>
    <row r="10" spans="1:4" x14ac:dyDescent="0.25">
      <c r="A10" s="39">
        <v>426</v>
      </c>
      <c r="B10" s="35" t="s">
        <v>338</v>
      </c>
      <c r="C10" s="35" t="s">
        <v>339</v>
      </c>
      <c r="D10" s="40"/>
    </row>
    <row r="11" spans="1:4" x14ac:dyDescent="0.25">
      <c r="A11" s="39">
        <v>427</v>
      </c>
      <c r="B11" s="35" t="s">
        <v>340</v>
      </c>
      <c r="C11" s="35" t="s">
        <v>341</v>
      </c>
      <c r="D11" s="40"/>
    </row>
    <row r="12" spans="1:4" x14ac:dyDescent="0.25">
      <c r="A12" s="39">
        <v>428</v>
      </c>
      <c r="B12" s="35" t="s">
        <v>342</v>
      </c>
      <c r="C12" s="35" t="s">
        <v>343</v>
      </c>
      <c r="D12" s="40"/>
    </row>
    <row r="13" spans="1:4" x14ac:dyDescent="0.25">
      <c r="A13" s="39">
        <v>429</v>
      </c>
      <c r="B13" s="35" t="s">
        <v>344</v>
      </c>
      <c r="C13" s="35" t="s">
        <v>345</v>
      </c>
      <c r="D13" s="40"/>
    </row>
    <row r="14" spans="1:4" x14ac:dyDescent="0.25">
      <c r="A14" s="39" t="s">
        <v>346</v>
      </c>
      <c r="B14" s="35" t="s">
        <v>347</v>
      </c>
      <c r="C14" s="35" t="s">
        <v>348</v>
      </c>
      <c r="D14" s="40"/>
    </row>
    <row r="15" spans="1:4" x14ac:dyDescent="0.25">
      <c r="A15" s="39" t="s">
        <v>349</v>
      </c>
      <c r="B15" s="35" t="s">
        <v>350</v>
      </c>
      <c r="C15" s="35" t="s">
        <v>351</v>
      </c>
      <c r="D15" s="40"/>
    </row>
    <row r="16" spans="1:4" x14ac:dyDescent="0.25">
      <c r="A16" s="39" t="s">
        <v>352</v>
      </c>
      <c r="B16" s="35" t="s">
        <v>353</v>
      </c>
      <c r="C16" s="35" t="s">
        <v>354</v>
      </c>
      <c r="D16" s="40"/>
    </row>
    <row r="17" spans="1:12" x14ac:dyDescent="0.25">
      <c r="A17" s="41" t="s">
        <v>355</v>
      </c>
      <c r="B17" s="42" t="s">
        <v>356</v>
      </c>
      <c r="C17" s="42" t="s">
        <v>357</v>
      </c>
      <c r="D17" s="43"/>
    </row>
    <row r="18" spans="1:12" x14ac:dyDescent="0.25">
      <c r="A18" s="44" t="s">
        <v>358</v>
      </c>
      <c r="B18" s="44" t="s">
        <v>359</v>
      </c>
      <c r="C18" s="44" t="s">
        <v>360</v>
      </c>
      <c r="D18" s="44" t="s">
        <v>361</v>
      </c>
    </row>
    <row r="19" spans="1:12" x14ac:dyDescent="0.25">
      <c r="A19" s="35" t="s">
        <v>362</v>
      </c>
      <c r="B19" s="35" t="s">
        <v>363</v>
      </c>
      <c r="C19" s="35" t="s">
        <v>364</v>
      </c>
      <c r="D19" s="35"/>
    </row>
    <row r="20" spans="1:12" x14ac:dyDescent="0.25">
      <c r="A20" s="14"/>
      <c r="C20" s="45"/>
      <c r="D20" s="46"/>
    </row>
    <row r="21" spans="1:12" x14ac:dyDescent="0.25">
      <c r="A21" s="196" t="s">
        <v>365</v>
      </c>
      <c r="B21" s="196"/>
      <c r="C21" s="197" t="s">
        <v>887</v>
      </c>
      <c r="D21" s="198" t="s">
        <v>887</v>
      </c>
      <c r="E21" s="199" t="s">
        <v>888</v>
      </c>
      <c r="F21" s="199" t="s">
        <v>888</v>
      </c>
      <c r="G21" s="199" t="s">
        <v>888</v>
      </c>
    </row>
    <row r="22" spans="1:12" x14ac:dyDescent="0.25">
      <c r="A22" s="200" t="s">
        <v>366</v>
      </c>
      <c r="B22" s="201" t="s">
        <v>367</v>
      </c>
      <c r="C22" s="202" t="s">
        <v>368</v>
      </c>
      <c r="D22" s="203" t="s">
        <v>369</v>
      </c>
      <c r="E22" s="204" t="s">
        <v>370</v>
      </c>
      <c r="F22" s="204" t="s">
        <v>371</v>
      </c>
      <c r="G22" s="204" t="s">
        <v>372</v>
      </c>
    </row>
    <row r="23" spans="1:12" ht="45" x14ac:dyDescent="0.25">
      <c r="A23" s="205">
        <v>1</v>
      </c>
      <c r="B23" s="206" t="s">
        <v>373</v>
      </c>
      <c r="C23" s="207" t="s">
        <v>374</v>
      </c>
      <c r="D23" s="208" t="s">
        <v>375</v>
      </c>
      <c r="E23" s="209" t="s">
        <v>376</v>
      </c>
      <c r="F23" s="209" t="s">
        <v>377</v>
      </c>
      <c r="G23" s="54" t="s">
        <v>378</v>
      </c>
    </row>
    <row r="24" spans="1:12" x14ac:dyDescent="0.25">
      <c r="A24" s="205">
        <v>2</v>
      </c>
      <c r="B24" s="206" t="s">
        <v>379</v>
      </c>
      <c r="C24" s="210" t="s">
        <v>380</v>
      </c>
      <c r="D24" s="211" t="s">
        <v>381</v>
      </c>
      <c r="E24" s="209" t="s">
        <v>382</v>
      </c>
      <c r="F24" s="209" t="s">
        <v>383</v>
      </c>
      <c r="G24" s="54" t="s">
        <v>384</v>
      </c>
    </row>
    <row r="25" spans="1:12" x14ac:dyDescent="0.25">
      <c r="A25" s="205">
        <v>1</v>
      </c>
      <c r="B25" s="206" t="s">
        <v>385</v>
      </c>
      <c r="C25" s="210" t="s">
        <v>386</v>
      </c>
      <c r="D25" s="211" t="s">
        <v>387</v>
      </c>
      <c r="E25" s="209" t="s">
        <v>388</v>
      </c>
      <c r="F25" s="209" t="s">
        <v>389</v>
      </c>
      <c r="G25" s="54" t="s">
        <v>384</v>
      </c>
    </row>
    <row r="26" spans="1:12" ht="30" x14ac:dyDescent="0.25">
      <c r="A26" s="205">
        <v>2</v>
      </c>
      <c r="B26" s="206" t="s">
        <v>390</v>
      </c>
      <c r="C26" s="210" t="s">
        <v>391</v>
      </c>
      <c r="D26" s="211" t="s">
        <v>392</v>
      </c>
      <c r="E26" s="209" t="s">
        <v>393</v>
      </c>
      <c r="F26" s="209" t="s">
        <v>394</v>
      </c>
      <c r="G26" s="54" t="s">
        <v>384</v>
      </c>
    </row>
    <row r="27" spans="1:12" x14ac:dyDescent="0.25">
      <c r="A27" s="205">
        <v>1</v>
      </c>
      <c r="B27" s="206" t="s">
        <v>395</v>
      </c>
      <c r="C27" s="212" t="s">
        <v>396</v>
      </c>
      <c r="D27" s="213" t="s">
        <v>387</v>
      </c>
      <c r="E27" s="209" t="s">
        <v>397</v>
      </c>
      <c r="F27" s="209" t="s">
        <v>398</v>
      </c>
      <c r="G27" s="54" t="s">
        <v>384</v>
      </c>
    </row>
    <row r="28" spans="1:12" x14ac:dyDescent="0.25">
      <c r="A28" s="205">
        <v>1</v>
      </c>
      <c r="B28" s="206" t="s">
        <v>399</v>
      </c>
      <c r="C28" s="214" t="s">
        <v>400</v>
      </c>
      <c r="D28" s="215" t="s">
        <v>401</v>
      </c>
      <c r="E28" s="209" t="s">
        <v>402</v>
      </c>
      <c r="F28" s="209" t="s">
        <v>403</v>
      </c>
      <c r="G28" s="54" t="s">
        <v>404</v>
      </c>
    </row>
    <row r="29" spans="1:12" x14ac:dyDescent="0.25">
      <c r="A29" s="205">
        <v>1</v>
      </c>
      <c r="B29" s="216" t="s">
        <v>405</v>
      </c>
      <c r="C29" s="217" t="s">
        <v>406</v>
      </c>
      <c r="D29" s="208" t="s">
        <v>407</v>
      </c>
      <c r="E29" s="209" t="s">
        <v>408</v>
      </c>
      <c r="F29" s="209" t="s">
        <v>409</v>
      </c>
      <c r="G29" s="54" t="s">
        <v>410</v>
      </c>
    </row>
    <row r="30" spans="1:12" x14ac:dyDescent="0.25">
      <c r="A30" s="205">
        <v>1</v>
      </c>
      <c r="B30" s="206" t="s">
        <v>411</v>
      </c>
      <c r="C30" s="210" t="s">
        <v>412</v>
      </c>
      <c r="D30" s="211" t="s">
        <v>413</v>
      </c>
      <c r="E30" s="209" t="s">
        <v>414</v>
      </c>
      <c r="F30" s="209" t="s">
        <v>415</v>
      </c>
      <c r="G30" s="54" t="s">
        <v>416</v>
      </c>
    </row>
    <row r="31" spans="1:12" x14ac:dyDescent="0.25">
      <c r="A31" s="205">
        <v>1</v>
      </c>
      <c r="B31" s="206" t="s">
        <v>417</v>
      </c>
      <c r="C31" s="210" t="s">
        <v>412</v>
      </c>
      <c r="D31" s="211" t="s">
        <v>413</v>
      </c>
      <c r="E31" s="209" t="s">
        <v>418</v>
      </c>
      <c r="F31" s="209" t="s">
        <v>419</v>
      </c>
      <c r="G31" s="54" t="s">
        <v>416</v>
      </c>
    </row>
    <row r="32" spans="1:12" x14ac:dyDescent="0.25">
      <c r="A32" s="205">
        <v>1</v>
      </c>
      <c r="B32" s="217" t="s">
        <v>420</v>
      </c>
      <c r="C32" s="207" t="s">
        <v>421</v>
      </c>
      <c r="D32" s="216" t="s">
        <v>422</v>
      </c>
      <c r="E32" s="209" t="s">
        <v>423</v>
      </c>
      <c r="F32" s="209" t="s">
        <v>424</v>
      </c>
      <c r="G32" s="54" t="s">
        <v>384</v>
      </c>
      <c r="I32"/>
      <c r="J32"/>
      <c r="K32"/>
      <c r="L32"/>
    </row>
    <row r="33" spans="1:12" x14ac:dyDescent="0.25">
      <c r="A33" s="205">
        <v>1</v>
      </c>
      <c r="B33" s="218" t="s">
        <v>425</v>
      </c>
      <c r="C33" s="210" t="s">
        <v>426</v>
      </c>
      <c r="D33" s="216" t="s">
        <v>422</v>
      </c>
      <c r="E33" s="209" t="s">
        <v>427</v>
      </c>
      <c r="F33" s="209" t="s">
        <v>428</v>
      </c>
      <c r="G33" s="54" t="s">
        <v>384</v>
      </c>
      <c r="I33"/>
      <c r="J33"/>
      <c r="K33"/>
      <c r="L33"/>
    </row>
    <row r="34" spans="1:12" x14ac:dyDescent="0.25">
      <c r="A34" s="205">
        <v>1</v>
      </c>
      <c r="B34" s="219" t="s">
        <v>37</v>
      </c>
      <c r="C34" s="220"/>
      <c r="D34" s="221" t="s">
        <v>889</v>
      </c>
      <c r="E34" s="209" t="s">
        <v>429</v>
      </c>
      <c r="F34" s="209" t="s">
        <v>430</v>
      </c>
      <c r="G34" s="54"/>
      <c r="I34"/>
      <c r="J34"/>
      <c r="K34"/>
      <c r="L34"/>
    </row>
    <row r="35" spans="1:12" x14ac:dyDescent="0.25">
      <c r="A35" s="205">
        <v>1</v>
      </c>
      <c r="B35" s="219" t="s">
        <v>37</v>
      </c>
      <c r="C35" s="220"/>
      <c r="D35" s="221" t="s">
        <v>889</v>
      </c>
      <c r="E35" s="209" t="s">
        <v>431</v>
      </c>
      <c r="F35" s="209" t="s">
        <v>432</v>
      </c>
      <c r="G35" s="54"/>
      <c r="I35"/>
      <c r="J35"/>
      <c r="K35"/>
      <c r="L35"/>
    </row>
    <row r="36" spans="1:12" x14ac:dyDescent="0.25">
      <c r="A36" s="222"/>
      <c r="B36" s="222"/>
      <c r="C36" s="223"/>
      <c r="D36" s="223" t="s">
        <v>888</v>
      </c>
      <c r="E36" s="222"/>
      <c r="F36" s="222"/>
      <c r="G36" s="224"/>
      <c r="I36"/>
      <c r="J36"/>
      <c r="K36"/>
      <c r="L36"/>
    </row>
    <row r="37" spans="1:12" s="48" customFormat="1" x14ac:dyDescent="0.25">
      <c r="A37" s="196" t="s">
        <v>433</v>
      </c>
      <c r="B37" s="196"/>
      <c r="C37" s="197" t="s">
        <v>887</v>
      </c>
      <c r="D37" s="198" t="s">
        <v>887</v>
      </c>
      <c r="E37" s="199" t="s">
        <v>888</v>
      </c>
      <c r="F37" s="199" t="s">
        <v>888</v>
      </c>
      <c r="G37" s="199" t="s">
        <v>888</v>
      </c>
      <c r="H37" s="47"/>
      <c r="I37"/>
      <c r="J37"/>
      <c r="K37"/>
      <c r="L37"/>
    </row>
    <row r="38" spans="1:12" x14ac:dyDescent="0.25">
      <c r="A38" s="200" t="s">
        <v>366</v>
      </c>
      <c r="B38" s="201" t="s">
        <v>22</v>
      </c>
      <c r="C38" s="202" t="s">
        <v>368</v>
      </c>
      <c r="D38" s="203" t="s">
        <v>369</v>
      </c>
      <c r="E38" s="204" t="s">
        <v>370</v>
      </c>
      <c r="F38" s="204" t="s">
        <v>434</v>
      </c>
      <c r="G38" s="204" t="s">
        <v>372</v>
      </c>
      <c r="I38"/>
      <c r="J38"/>
      <c r="K38"/>
      <c r="L38"/>
    </row>
    <row r="39" spans="1:12" ht="30" x14ac:dyDescent="0.25">
      <c r="A39" s="225">
        <v>1</v>
      </c>
      <c r="B39" s="226" t="s">
        <v>435</v>
      </c>
      <c r="C39" s="206" t="s">
        <v>436</v>
      </c>
      <c r="D39" s="216" t="s">
        <v>422</v>
      </c>
      <c r="E39" s="209" t="s">
        <v>437</v>
      </c>
      <c r="F39" s="209" t="s">
        <v>438</v>
      </c>
      <c r="G39" s="54" t="s">
        <v>439</v>
      </c>
      <c r="I39"/>
      <c r="J39"/>
      <c r="K39"/>
      <c r="L39"/>
    </row>
    <row r="40" spans="1:12" x14ac:dyDescent="0.25">
      <c r="A40" s="205">
        <v>1</v>
      </c>
      <c r="B40" s="206" t="s">
        <v>440</v>
      </c>
      <c r="C40" s="206" t="s">
        <v>441</v>
      </c>
      <c r="D40" s="216" t="s">
        <v>442</v>
      </c>
      <c r="E40" s="209" t="s">
        <v>443</v>
      </c>
      <c r="F40" s="209" t="s">
        <v>444</v>
      </c>
      <c r="G40" s="54" t="s">
        <v>445</v>
      </c>
      <c r="I40"/>
      <c r="J40"/>
      <c r="K40"/>
      <c r="L40"/>
    </row>
    <row r="41" spans="1:12" ht="75" x14ac:dyDescent="0.25">
      <c r="A41" s="205">
        <v>1</v>
      </c>
      <c r="B41" s="206" t="s">
        <v>446</v>
      </c>
      <c r="C41" s="206" t="s">
        <v>447</v>
      </c>
      <c r="D41" s="216" t="s">
        <v>422</v>
      </c>
      <c r="E41" s="209" t="s">
        <v>448</v>
      </c>
      <c r="F41" s="209" t="s">
        <v>449</v>
      </c>
      <c r="G41" s="54" t="s">
        <v>450</v>
      </c>
    </row>
    <row r="42" spans="1:12" ht="30" x14ac:dyDescent="0.25">
      <c r="A42" s="205">
        <v>1</v>
      </c>
      <c r="B42" s="206" t="s">
        <v>451</v>
      </c>
      <c r="C42" s="206" t="s">
        <v>452</v>
      </c>
      <c r="D42" s="216" t="s">
        <v>453</v>
      </c>
      <c r="E42" s="209" t="s">
        <v>454</v>
      </c>
      <c r="F42" s="209" t="s">
        <v>455</v>
      </c>
      <c r="G42" s="54" t="s">
        <v>456</v>
      </c>
    </row>
    <row r="43" spans="1:12" x14ac:dyDescent="0.25">
      <c r="A43" s="205">
        <v>1</v>
      </c>
      <c r="B43" s="206" t="s">
        <v>457</v>
      </c>
      <c r="C43" s="206" t="s">
        <v>458</v>
      </c>
      <c r="D43" s="216" t="s">
        <v>459</v>
      </c>
      <c r="E43" s="209" t="s">
        <v>460</v>
      </c>
      <c r="F43" s="209" t="s">
        <v>461</v>
      </c>
      <c r="G43" s="54" t="s">
        <v>462</v>
      </c>
    </row>
    <row r="44" spans="1:12" x14ac:dyDescent="0.25">
      <c r="A44" s="205">
        <v>1</v>
      </c>
      <c r="B44" s="206" t="s">
        <v>463</v>
      </c>
      <c r="C44" s="206" t="s">
        <v>464</v>
      </c>
      <c r="D44" s="216" t="s">
        <v>422</v>
      </c>
      <c r="E44" s="209" t="s">
        <v>465</v>
      </c>
      <c r="F44" s="209" t="s">
        <v>466</v>
      </c>
      <c r="G44" s="54" t="s">
        <v>467</v>
      </c>
    </row>
    <row r="45" spans="1:12" ht="30" x14ac:dyDescent="0.25">
      <c r="A45" s="205">
        <v>1</v>
      </c>
      <c r="B45" s="227" t="s">
        <v>468</v>
      </c>
      <c r="C45" s="206" t="s">
        <v>469</v>
      </c>
      <c r="D45" s="216" t="s">
        <v>890</v>
      </c>
      <c r="E45" s="209" t="s">
        <v>470</v>
      </c>
      <c r="F45" s="209" t="s">
        <v>471</v>
      </c>
      <c r="G45" s="54" t="s">
        <v>472</v>
      </c>
    </row>
    <row r="46" spans="1:12" ht="90" x14ac:dyDescent="0.25">
      <c r="A46" s="205">
        <v>1</v>
      </c>
      <c r="B46" s="227" t="s">
        <v>473</v>
      </c>
      <c r="C46" s="206" t="s">
        <v>474</v>
      </c>
      <c r="D46" s="228" t="s">
        <v>475</v>
      </c>
      <c r="E46" s="209" t="s">
        <v>476</v>
      </c>
      <c r="F46" s="209" t="s">
        <v>477</v>
      </c>
      <c r="G46" s="54" t="s">
        <v>478</v>
      </c>
    </row>
    <row r="47" spans="1:12" ht="45" x14ac:dyDescent="0.25">
      <c r="A47" s="205">
        <v>1</v>
      </c>
      <c r="B47" s="206" t="s">
        <v>479</v>
      </c>
      <c r="C47" s="206" t="s">
        <v>480</v>
      </c>
      <c r="D47" s="216" t="s">
        <v>481</v>
      </c>
      <c r="E47" s="209" t="s">
        <v>482</v>
      </c>
      <c r="F47" s="209" t="s">
        <v>483</v>
      </c>
      <c r="G47" s="54" t="s">
        <v>484</v>
      </c>
    </row>
    <row r="48" spans="1:12" ht="120" x14ac:dyDescent="0.25">
      <c r="A48" s="205">
        <v>1</v>
      </c>
      <c r="B48" s="206" t="s">
        <v>485</v>
      </c>
      <c r="C48" s="206" t="s">
        <v>486</v>
      </c>
      <c r="D48" s="216" t="s">
        <v>422</v>
      </c>
      <c r="E48" s="209" t="s">
        <v>487</v>
      </c>
      <c r="F48" s="209" t="s">
        <v>488</v>
      </c>
      <c r="G48" s="54" t="s">
        <v>489</v>
      </c>
    </row>
    <row r="49" spans="1:7" ht="165" x14ac:dyDescent="0.25">
      <c r="A49" s="205">
        <v>1</v>
      </c>
      <c r="B49" s="206" t="s">
        <v>490</v>
      </c>
      <c r="C49" s="206" t="s">
        <v>491</v>
      </c>
      <c r="D49" s="216" t="s">
        <v>422</v>
      </c>
      <c r="E49" s="209" t="s">
        <v>492</v>
      </c>
      <c r="F49" s="209" t="s">
        <v>493</v>
      </c>
      <c r="G49" s="54" t="s">
        <v>494</v>
      </c>
    </row>
    <row r="50" spans="1:7" ht="45" x14ac:dyDescent="0.25">
      <c r="A50" s="205">
        <v>2</v>
      </c>
      <c r="B50" s="206" t="s">
        <v>495</v>
      </c>
      <c r="C50" s="206" t="s">
        <v>496</v>
      </c>
      <c r="D50" s="216" t="s">
        <v>497</v>
      </c>
      <c r="E50" s="209" t="s">
        <v>498</v>
      </c>
      <c r="F50" s="209" t="s">
        <v>499</v>
      </c>
      <c r="G50" s="54" t="s">
        <v>500</v>
      </c>
    </row>
    <row r="51" spans="1:7" ht="30" x14ac:dyDescent="0.25">
      <c r="A51" s="205">
        <v>2</v>
      </c>
      <c r="B51" s="206" t="s">
        <v>501</v>
      </c>
      <c r="C51" s="210" t="s">
        <v>502</v>
      </c>
      <c r="D51" s="211" t="s">
        <v>503</v>
      </c>
      <c r="E51" s="209" t="s">
        <v>504</v>
      </c>
      <c r="F51" s="209" t="s">
        <v>505</v>
      </c>
      <c r="G51" s="54" t="s">
        <v>506</v>
      </c>
    </row>
    <row r="52" spans="1:7" x14ac:dyDescent="0.25">
      <c r="A52" s="205">
        <v>1</v>
      </c>
      <c r="B52" s="206" t="s">
        <v>507</v>
      </c>
      <c r="C52" s="206" t="s">
        <v>508</v>
      </c>
      <c r="D52" s="216" t="s">
        <v>509</v>
      </c>
      <c r="E52" s="209" t="s">
        <v>510</v>
      </c>
      <c r="F52" s="209" t="s">
        <v>511</v>
      </c>
      <c r="G52" s="54" t="s">
        <v>512</v>
      </c>
    </row>
    <row r="53" spans="1:7" x14ac:dyDescent="0.25">
      <c r="C53" s="15"/>
      <c r="D53" s="15"/>
    </row>
    <row r="54" spans="1:7" x14ac:dyDescent="0.25">
      <c r="C54" s="15"/>
      <c r="D54" s="15"/>
    </row>
    <row r="55" spans="1:7" x14ac:dyDescent="0.25">
      <c r="C55" s="15"/>
      <c r="D55" s="15"/>
    </row>
    <row r="56" spans="1:7" x14ac:dyDescent="0.25">
      <c r="C56" s="15"/>
      <c r="D56" s="15"/>
    </row>
    <row r="57" spans="1:7" x14ac:dyDescent="0.25">
      <c r="C57" s="15"/>
      <c r="D57" s="15"/>
    </row>
    <row r="58" spans="1:7" x14ac:dyDescent="0.25">
      <c r="C58" s="15"/>
      <c r="D58" s="15"/>
    </row>
    <row r="59" spans="1:7" x14ac:dyDescent="0.25">
      <c r="C59" s="15"/>
      <c r="D59" s="15"/>
    </row>
    <row r="60" spans="1:7" x14ac:dyDescent="0.25">
      <c r="C60" s="15"/>
      <c r="D60" s="15"/>
    </row>
    <row r="61" spans="1:7" x14ac:dyDescent="0.25">
      <c r="C61" s="15"/>
      <c r="D61" s="15"/>
    </row>
    <row r="62" spans="1:7" x14ac:dyDescent="0.25">
      <c r="C62" s="15"/>
      <c r="D62" s="15"/>
    </row>
    <row r="63" spans="1:7" x14ac:dyDescent="0.25">
      <c r="C63" s="15"/>
      <c r="D63" s="15"/>
    </row>
    <row r="64" spans="1:7" x14ac:dyDescent="0.25">
      <c r="C64" s="15"/>
      <c r="D64" s="15"/>
    </row>
    <row r="65" s="15" customFormat="1" x14ac:dyDescent="0.25"/>
    <row r="66" s="15" customFormat="1" x14ac:dyDescent="0.25"/>
    <row r="67" s="15" customFormat="1" x14ac:dyDescent="0.25"/>
    <row r="68" s="15" customFormat="1" x14ac:dyDescent="0.25"/>
    <row r="69" s="15" customFormat="1" x14ac:dyDescent="0.25"/>
    <row r="70" s="15" customFormat="1" x14ac:dyDescent="0.25"/>
    <row r="71" s="15" customFormat="1" x14ac:dyDescent="0.25"/>
    <row r="72" s="15" customFormat="1" x14ac:dyDescent="0.25"/>
    <row r="73" s="15" customFormat="1" x14ac:dyDescent="0.25"/>
    <row r="74" s="15" customFormat="1" x14ac:dyDescent="0.25"/>
    <row r="75" s="15" customFormat="1" x14ac:dyDescent="0.25"/>
    <row r="76" s="15" customFormat="1" x14ac:dyDescent="0.25"/>
    <row r="77" s="15" customFormat="1" x14ac:dyDescent="0.25"/>
    <row r="78" s="15" customFormat="1" x14ac:dyDescent="0.25"/>
    <row r="79" s="15" customFormat="1" x14ac:dyDescent="0.25"/>
    <row r="80" s="15" customFormat="1" x14ac:dyDescent="0.25"/>
    <row r="81" s="15" customFormat="1" x14ac:dyDescent="0.25"/>
    <row r="82" s="15" customFormat="1" x14ac:dyDescent="0.25"/>
    <row r="83" s="15" customFormat="1" x14ac:dyDescent="0.25"/>
    <row r="84" s="15" customFormat="1" x14ac:dyDescent="0.25"/>
  </sheetData>
  <mergeCells count="2">
    <mergeCell ref="A5:D5"/>
    <mergeCell ref="A4:D4"/>
  </mergeCells>
  <phoneticPr fontId="1" type="noConversion"/>
  <pageMargins left="0.7" right="0.7" top="0.75" bottom="0.75" header="0.3" footer="0.3"/>
  <pageSetup paperSize="9" scale="72" fitToHeight="0" orientation="landscape" r:id="rId1"/>
  <rowBreaks count="2" manualBreakCount="2">
    <brk id="20" max="5" man="1"/>
    <brk id="5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8224C-37F8-47B8-83C1-B24EE2B4C27C}">
  <sheetPr>
    <pageSetUpPr fitToPage="1"/>
  </sheetPr>
  <dimension ref="A1:W137"/>
  <sheetViews>
    <sheetView zoomScaleNormal="100" workbookViewId="0">
      <pane xSplit="2" topLeftCell="C1" activePane="topRight" state="frozen"/>
      <selection pane="topRight" activeCell="D24" sqref="A19:G93"/>
    </sheetView>
  </sheetViews>
  <sheetFormatPr defaultColWidth="8.875" defaultRowHeight="16.5" x14ac:dyDescent="0.25"/>
  <cols>
    <col min="1" max="1" width="13.875" style="15" customWidth="1"/>
    <col min="2" max="2" width="25.875" style="15" customWidth="1"/>
    <col min="3" max="3" width="33.125" style="49" customWidth="1"/>
    <col min="4" max="4" width="43.875" style="49" customWidth="1"/>
    <col min="5" max="5" width="16.5" style="15" customWidth="1"/>
    <col min="6" max="6" width="21.25" style="15" customWidth="1"/>
    <col min="7" max="7" width="49.25" style="56" customWidth="1"/>
    <col min="8" max="16384" width="8.875" style="15"/>
  </cols>
  <sheetData>
    <row r="1" spans="1:4" ht="39" x14ac:dyDescent="0.25">
      <c r="A1" s="17" t="s">
        <v>21</v>
      </c>
      <c r="B1" s="17" t="s">
        <v>22</v>
      </c>
      <c r="C1" s="17" t="s">
        <v>26</v>
      </c>
      <c r="D1" s="17" t="s">
        <v>27</v>
      </c>
    </row>
    <row r="2" spans="1:4" x14ac:dyDescent="0.25">
      <c r="A2" s="35" t="s">
        <v>513</v>
      </c>
      <c r="B2" s="35" t="s">
        <v>514</v>
      </c>
      <c r="C2" s="35" t="s">
        <v>515</v>
      </c>
      <c r="D2" s="35"/>
    </row>
    <row r="3" spans="1:4" x14ac:dyDescent="0.25">
      <c r="A3" s="35" t="s">
        <v>516</v>
      </c>
      <c r="B3" s="35" t="s">
        <v>517</v>
      </c>
      <c r="C3" s="35" t="s">
        <v>518</v>
      </c>
      <c r="D3" s="35"/>
    </row>
    <row r="4" spans="1:4" x14ac:dyDescent="0.25">
      <c r="A4" s="35" t="s">
        <v>519</v>
      </c>
      <c r="B4" s="35" t="s">
        <v>520</v>
      </c>
      <c r="C4" s="35" t="s">
        <v>521</v>
      </c>
      <c r="D4" s="50"/>
    </row>
    <row r="5" spans="1:4" x14ac:dyDescent="0.25">
      <c r="A5" s="35" t="s">
        <v>522</v>
      </c>
      <c r="B5" s="35" t="s">
        <v>523</v>
      </c>
      <c r="C5" s="35" t="s">
        <v>524</v>
      </c>
      <c r="D5" s="35"/>
    </row>
    <row r="6" spans="1:4" x14ac:dyDescent="0.25">
      <c r="A6" s="35" t="s">
        <v>525</v>
      </c>
      <c r="B6" s="35" t="s">
        <v>526</v>
      </c>
      <c r="C6" s="35" t="s">
        <v>527</v>
      </c>
      <c r="D6" s="35"/>
    </row>
    <row r="7" spans="1:4" x14ac:dyDescent="0.25">
      <c r="A7" s="35" t="s">
        <v>528</v>
      </c>
      <c r="B7" s="35" t="s">
        <v>529</v>
      </c>
      <c r="C7" s="35" t="s">
        <v>530</v>
      </c>
      <c r="D7" s="35"/>
    </row>
    <row r="8" spans="1:4" x14ac:dyDescent="0.25">
      <c r="A8" s="35" t="s">
        <v>531</v>
      </c>
      <c r="B8" s="35" t="s">
        <v>532</v>
      </c>
      <c r="C8" s="35" t="s">
        <v>533</v>
      </c>
      <c r="D8" s="35"/>
    </row>
    <row r="9" spans="1:4" x14ac:dyDescent="0.25">
      <c r="A9" s="35" t="s">
        <v>534</v>
      </c>
      <c r="B9" s="35" t="s">
        <v>535</v>
      </c>
      <c r="C9" s="35" t="s">
        <v>536</v>
      </c>
      <c r="D9" s="35"/>
    </row>
    <row r="10" spans="1:4" x14ac:dyDescent="0.25">
      <c r="A10" s="35" t="s">
        <v>537</v>
      </c>
      <c r="B10" s="35" t="s">
        <v>538</v>
      </c>
      <c r="C10" s="35" t="s">
        <v>539</v>
      </c>
      <c r="D10" s="35" t="s">
        <v>540</v>
      </c>
    </row>
    <row r="11" spans="1:4" x14ac:dyDescent="0.25">
      <c r="A11" s="35" t="s">
        <v>541</v>
      </c>
      <c r="B11" s="35" t="s">
        <v>542</v>
      </c>
      <c r="C11" s="35" t="s">
        <v>543</v>
      </c>
      <c r="D11" s="35" t="s">
        <v>544</v>
      </c>
    </row>
    <row r="12" spans="1:4" x14ac:dyDescent="0.25">
      <c r="A12" s="35" t="s">
        <v>545</v>
      </c>
      <c r="B12" s="35" t="s">
        <v>546</v>
      </c>
      <c r="C12" s="35" t="s">
        <v>547</v>
      </c>
      <c r="D12" s="35" t="s">
        <v>548</v>
      </c>
    </row>
    <row r="13" spans="1:4" x14ac:dyDescent="0.25">
      <c r="A13" s="35" t="s">
        <v>549</v>
      </c>
      <c r="B13" s="35" t="s">
        <v>550</v>
      </c>
      <c r="C13" s="35" t="s">
        <v>551</v>
      </c>
      <c r="D13" s="35" t="s">
        <v>552</v>
      </c>
    </row>
    <row r="14" spans="1:4" x14ac:dyDescent="0.25">
      <c r="A14" s="35" t="s">
        <v>553</v>
      </c>
      <c r="B14" s="35" t="s">
        <v>554</v>
      </c>
      <c r="C14" s="35" t="s">
        <v>555</v>
      </c>
      <c r="D14" s="35" t="s">
        <v>556</v>
      </c>
    </row>
    <row r="15" spans="1:4" x14ac:dyDescent="0.25">
      <c r="A15" s="35" t="s">
        <v>557</v>
      </c>
      <c r="B15" s="35" t="s">
        <v>558</v>
      </c>
      <c r="C15" s="35" t="s">
        <v>559</v>
      </c>
      <c r="D15" s="35" t="s">
        <v>560</v>
      </c>
    </row>
    <row r="16" spans="1:4" x14ac:dyDescent="0.25">
      <c r="A16" s="35" t="s">
        <v>561</v>
      </c>
      <c r="B16" s="35" t="s">
        <v>562</v>
      </c>
      <c r="C16" s="35" t="s">
        <v>563</v>
      </c>
      <c r="D16" s="35" t="s">
        <v>564</v>
      </c>
    </row>
    <row r="17" spans="1:7" x14ac:dyDescent="0.25">
      <c r="A17" s="35" t="s">
        <v>565</v>
      </c>
      <c r="B17" s="35" t="s">
        <v>566</v>
      </c>
      <c r="C17" s="35" t="s">
        <v>567</v>
      </c>
      <c r="D17" s="35" t="s">
        <v>568</v>
      </c>
    </row>
    <row r="18" spans="1:7" x14ac:dyDescent="0.25">
      <c r="A18" s="16"/>
      <c r="B18" s="49"/>
      <c r="C18" s="45"/>
      <c r="D18" s="51"/>
    </row>
    <row r="19" spans="1:7" x14ac:dyDescent="0.25">
      <c r="A19" s="196" t="s">
        <v>365</v>
      </c>
      <c r="B19" s="196"/>
      <c r="C19" s="197" t="s">
        <v>887</v>
      </c>
      <c r="D19" s="229" t="s">
        <v>887</v>
      </c>
      <c r="E19" s="199" t="s">
        <v>888</v>
      </c>
      <c r="F19" s="199" t="s">
        <v>888</v>
      </c>
      <c r="G19" s="199" t="s">
        <v>888</v>
      </c>
    </row>
    <row r="20" spans="1:7" x14ac:dyDescent="0.25">
      <c r="A20" s="200" t="s">
        <v>366</v>
      </c>
      <c r="B20" s="201" t="s">
        <v>367</v>
      </c>
      <c r="C20" s="202" t="s">
        <v>368</v>
      </c>
      <c r="D20" s="230" t="s">
        <v>369</v>
      </c>
      <c r="E20" s="204" t="s">
        <v>370</v>
      </c>
      <c r="F20" s="204" t="s">
        <v>371</v>
      </c>
      <c r="G20" s="204" t="s">
        <v>372</v>
      </c>
    </row>
    <row r="21" spans="1:7" x14ac:dyDescent="0.25">
      <c r="A21" s="231">
        <v>1</v>
      </c>
      <c r="B21" s="206" t="s">
        <v>569</v>
      </c>
      <c r="C21" s="206" t="s">
        <v>570</v>
      </c>
      <c r="D21" s="206" t="s">
        <v>571</v>
      </c>
      <c r="E21" s="209" t="s">
        <v>572</v>
      </c>
      <c r="F21" s="209" t="s">
        <v>573</v>
      </c>
      <c r="G21" s="54" t="s">
        <v>574</v>
      </c>
    </row>
    <row r="22" spans="1:7" x14ac:dyDescent="0.25">
      <c r="A22" s="231">
        <v>1</v>
      </c>
      <c r="B22" s="232" t="s">
        <v>37</v>
      </c>
      <c r="C22" s="233"/>
      <c r="D22" s="233" t="s">
        <v>889</v>
      </c>
      <c r="E22" s="209" t="s">
        <v>575</v>
      </c>
      <c r="F22" s="209" t="s">
        <v>576</v>
      </c>
      <c r="G22" s="54"/>
    </row>
    <row r="23" spans="1:7" ht="30" x14ac:dyDescent="0.25">
      <c r="A23" s="231">
        <v>1</v>
      </c>
      <c r="B23" s="206" t="s">
        <v>577</v>
      </c>
      <c r="C23" s="216" t="s">
        <v>578</v>
      </c>
      <c r="D23" s="218" t="s">
        <v>579</v>
      </c>
      <c r="E23" s="209" t="s">
        <v>580</v>
      </c>
      <c r="F23" s="209" t="s">
        <v>581</v>
      </c>
      <c r="G23" s="54" t="s">
        <v>384</v>
      </c>
    </row>
    <row r="24" spans="1:7" ht="105" x14ac:dyDescent="0.25">
      <c r="A24" s="231">
        <v>1</v>
      </c>
      <c r="B24" s="206" t="s">
        <v>582</v>
      </c>
      <c r="C24" s="210" t="s">
        <v>583</v>
      </c>
      <c r="D24" s="210" t="s">
        <v>584</v>
      </c>
      <c r="E24" s="209" t="s">
        <v>585</v>
      </c>
      <c r="F24" s="209" t="s">
        <v>586</v>
      </c>
      <c r="G24" s="54" t="s">
        <v>587</v>
      </c>
    </row>
    <row r="25" spans="1:7" x14ac:dyDescent="0.25">
      <c r="A25" s="231">
        <v>1</v>
      </c>
      <c r="B25" s="206" t="s">
        <v>588</v>
      </c>
      <c r="C25" s="216" t="s">
        <v>589</v>
      </c>
      <c r="D25" s="218" t="s">
        <v>590</v>
      </c>
      <c r="E25" s="209" t="s">
        <v>591</v>
      </c>
      <c r="F25" s="209" t="s">
        <v>592</v>
      </c>
      <c r="G25" s="54" t="s">
        <v>384</v>
      </c>
    </row>
    <row r="26" spans="1:7" x14ac:dyDescent="0.25">
      <c r="A26" s="231">
        <v>1</v>
      </c>
      <c r="B26" s="206" t="s">
        <v>593</v>
      </c>
      <c r="C26" s="211" t="s">
        <v>594</v>
      </c>
      <c r="D26" s="218" t="s">
        <v>889</v>
      </c>
      <c r="E26" s="209" t="s">
        <v>595</v>
      </c>
      <c r="F26" s="209" t="s">
        <v>596</v>
      </c>
      <c r="G26" s="54" t="s">
        <v>384</v>
      </c>
    </row>
    <row r="27" spans="1:7" ht="30" x14ac:dyDescent="0.25">
      <c r="A27" s="231">
        <v>1</v>
      </c>
      <c r="B27" s="206" t="s">
        <v>597</v>
      </c>
      <c r="C27" s="216" t="s">
        <v>598</v>
      </c>
      <c r="D27" s="218" t="s">
        <v>599</v>
      </c>
      <c r="E27" s="209" t="s">
        <v>600</v>
      </c>
      <c r="F27" s="209" t="s">
        <v>601</v>
      </c>
      <c r="G27" s="54" t="s">
        <v>602</v>
      </c>
    </row>
    <row r="28" spans="1:7" x14ac:dyDescent="0.25">
      <c r="A28" s="231">
        <v>1</v>
      </c>
      <c r="B28" s="232" t="s">
        <v>37</v>
      </c>
      <c r="C28" s="234"/>
      <c r="D28" s="235" t="s">
        <v>888</v>
      </c>
      <c r="E28" s="209" t="s">
        <v>603</v>
      </c>
      <c r="F28" s="209" t="s">
        <v>604</v>
      </c>
      <c r="G28" s="54"/>
    </row>
    <row r="29" spans="1:7" x14ac:dyDescent="0.25">
      <c r="A29" s="231">
        <v>1</v>
      </c>
      <c r="B29" s="232" t="s">
        <v>37</v>
      </c>
      <c r="C29" s="236"/>
      <c r="D29" s="237" t="s">
        <v>889</v>
      </c>
      <c r="E29" s="209" t="s">
        <v>605</v>
      </c>
      <c r="F29" s="209" t="s">
        <v>606</v>
      </c>
      <c r="G29" s="54"/>
    </row>
    <row r="30" spans="1:7" ht="75" x14ac:dyDescent="0.25">
      <c r="A30" s="231">
        <v>1</v>
      </c>
      <c r="B30" s="206" t="s">
        <v>446</v>
      </c>
      <c r="C30" s="216" t="s">
        <v>447</v>
      </c>
      <c r="D30" s="218" t="s">
        <v>889</v>
      </c>
      <c r="E30" s="209" t="s">
        <v>607</v>
      </c>
      <c r="F30" s="209" t="s">
        <v>608</v>
      </c>
      <c r="G30" s="54" t="s">
        <v>609</v>
      </c>
    </row>
    <row r="31" spans="1:7" ht="30" x14ac:dyDescent="0.25">
      <c r="A31" s="231">
        <v>2</v>
      </c>
      <c r="B31" s="206" t="s">
        <v>610</v>
      </c>
      <c r="C31" s="206" t="s">
        <v>611</v>
      </c>
      <c r="D31" s="216" t="s">
        <v>612</v>
      </c>
      <c r="E31" s="209" t="s">
        <v>613</v>
      </c>
      <c r="F31" s="209" t="s">
        <v>614</v>
      </c>
      <c r="G31" s="57" t="s">
        <v>615</v>
      </c>
    </row>
    <row r="32" spans="1:7" ht="30" x14ac:dyDescent="0.25">
      <c r="A32" s="231">
        <v>1</v>
      </c>
      <c r="B32" s="238" t="s">
        <v>616</v>
      </c>
      <c r="C32" s="216" t="s">
        <v>617</v>
      </c>
      <c r="D32" s="218" t="s">
        <v>618</v>
      </c>
      <c r="E32" s="209" t="s">
        <v>619</v>
      </c>
      <c r="F32" s="239" t="s">
        <v>620</v>
      </c>
      <c r="G32" s="240"/>
    </row>
    <row r="33" spans="1:7" ht="30" x14ac:dyDescent="0.25">
      <c r="A33" s="231">
        <v>1</v>
      </c>
      <c r="B33" s="238" t="s">
        <v>621</v>
      </c>
      <c r="C33" s="216" t="s">
        <v>622</v>
      </c>
      <c r="D33" s="218" t="s">
        <v>618</v>
      </c>
      <c r="E33" s="209" t="s">
        <v>623</v>
      </c>
      <c r="F33" s="239" t="s">
        <v>624</v>
      </c>
      <c r="G33" s="240"/>
    </row>
    <row r="34" spans="1:7" x14ac:dyDescent="0.25">
      <c r="A34" s="231">
        <v>1</v>
      </c>
      <c r="B34" s="241" t="s">
        <v>625</v>
      </c>
      <c r="C34" s="242" t="s">
        <v>626</v>
      </c>
      <c r="D34" s="243" t="s">
        <v>889</v>
      </c>
      <c r="E34" s="209" t="s">
        <v>627</v>
      </c>
      <c r="F34" s="239" t="s">
        <v>628</v>
      </c>
      <c r="G34" s="240"/>
    </row>
    <row r="35" spans="1:7" x14ac:dyDescent="0.25">
      <c r="A35" s="231">
        <v>1</v>
      </c>
      <c r="B35" s="232" t="s">
        <v>37</v>
      </c>
      <c r="C35" s="236"/>
      <c r="D35" s="237" t="s">
        <v>889</v>
      </c>
      <c r="E35" s="209" t="s">
        <v>629</v>
      </c>
      <c r="F35" s="239" t="s">
        <v>630</v>
      </c>
      <c r="G35" s="240"/>
    </row>
    <row r="36" spans="1:7" x14ac:dyDescent="0.25">
      <c r="A36" s="244">
        <v>1</v>
      </c>
      <c r="B36" s="245" t="s">
        <v>37</v>
      </c>
      <c r="C36" s="245"/>
      <c r="D36" s="245" t="s">
        <v>889</v>
      </c>
      <c r="E36" s="246" t="s">
        <v>631</v>
      </c>
      <c r="F36" s="239" t="s">
        <v>632</v>
      </c>
      <c r="G36" s="240"/>
    </row>
    <row r="37" spans="1:7" x14ac:dyDescent="0.25">
      <c r="A37" s="247">
        <v>1</v>
      </c>
      <c r="B37" s="232" t="s">
        <v>37</v>
      </c>
      <c r="C37" s="236"/>
      <c r="D37" s="237" t="s">
        <v>889</v>
      </c>
      <c r="E37" s="246" t="s">
        <v>631</v>
      </c>
      <c r="F37" s="239" t="s">
        <v>633</v>
      </c>
      <c r="G37" s="240"/>
    </row>
    <row r="38" spans="1:7" x14ac:dyDescent="0.25">
      <c r="A38" s="247">
        <v>1</v>
      </c>
      <c r="B38" s="232" t="s">
        <v>37</v>
      </c>
      <c r="C38" s="236"/>
      <c r="D38" s="237" t="s">
        <v>889</v>
      </c>
      <c r="E38" s="246" t="s">
        <v>631</v>
      </c>
      <c r="F38" s="239" t="s">
        <v>634</v>
      </c>
      <c r="G38" s="240"/>
    </row>
    <row r="39" spans="1:7" x14ac:dyDescent="0.25">
      <c r="A39" s="247">
        <v>1</v>
      </c>
      <c r="B39" s="232" t="s">
        <v>37</v>
      </c>
      <c r="C39" s="236"/>
      <c r="D39" s="237" t="s">
        <v>889</v>
      </c>
      <c r="E39" s="246" t="s">
        <v>631</v>
      </c>
      <c r="F39" s="239" t="s">
        <v>635</v>
      </c>
      <c r="G39" s="240"/>
    </row>
    <row r="40" spans="1:7" x14ac:dyDescent="0.25">
      <c r="A40" s="247">
        <v>1</v>
      </c>
      <c r="B40" s="210" t="s">
        <v>636</v>
      </c>
      <c r="C40" s="210" t="s">
        <v>637</v>
      </c>
      <c r="D40" s="210" t="s">
        <v>638</v>
      </c>
      <c r="E40" s="246" t="s">
        <v>631</v>
      </c>
      <c r="F40" s="239" t="s">
        <v>639</v>
      </c>
      <c r="G40" s="240"/>
    </row>
    <row r="41" spans="1:7" x14ac:dyDescent="0.25">
      <c r="A41" s="247">
        <v>1</v>
      </c>
      <c r="B41" s="232" t="s">
        <v>37</v>
      </c>
      <c r="C41" s="236"/>
      <c r="D41" s="237" t="s">
        <v>889</v>
      </c>
      <c r="E41" s="246" t="s">
        <v>631</v>
      </c>
      <c r="F41" s="239" t="s">
        <v>640</v>
      </c>
      <c r="G41" s="240"/>
    </row>
    <row r="42" spans="1:7" x14ac:dyDescent="0.25">
      <c r="A42" s="247">
        <v>1</v>
      </c>
      <c r="B42" s="232" t="s">
        <v>37</v>
      </c>
      <c r="C42" s="236"/>
      <c r="D42" s="237" t="s">
        <v>889</v>
      </c>
      <c r="E42" s="246" t="s">
        <v>631</v>
      </c>
      <c r="F42" s="239" t="s">
        <v>641</v>
      </c>
      <c r="G42" s="240"/>
    </row>
    <row r="43" spans="1:7" x14ac:dyDescent="0.25">
      <c r="A43" s="248">
        <v>1</v>
      </c>
      <c r="B43" s="249" t="s">
        <v>642</v>
      </c>
      <c r="C43" s="249" t="s">
        <v>643</v>
      </c>
      <c r="D43" s="212" t="s">
        <v>889</v>
      </c>
      <c r="E43" s="209" t="s">
        <v>644</v>
      </c>
      <c r="F43" s="239" t="s">
        <v>645</v>
      </c>
      <c r="G43" s="240"/>
    </row>
    <row r="44" spans="1:7" x14ac:dyDescent="0.25">
      <c r="A44" s="250">
        <v>1</v>
      </c>
      <c r="B44" s="251" t="s">
        <v>646</v>
      </c>
      <c r="C44" s="251" t="s">
        <v>647</v>
      </c>
      <c r="D44" s="252" t="s">
        <v>889</v>
      </c>
      <c r="E44" s="209" t="s">
        <v>648</v>
      </c>
      <c r="F44" s="239" t="s">
        <v>649</v>
      </c>
      <c r="G44" s="240"/>
    </row>
    <row r="45" spans="1:7" x14ac:dyDescent="0.25">
      <c r="A45" s="250">
        <v>1</v>
      </c>
      <c r="B45" s="251" t="s">
        <v>650</v>
      </c>
      <c r="C45" s="251" t="s">
        <v>651</v>
      </c>
      <c r="D45" s="252" t="s">
        <v>889</v>
      </c>
      <c r="E45" s="209" t="s">
        <v>652</v>
      </c>
      <c r="F45" s="239" t="s">
        <v>653</v>
      </c>
      <c r="G45" s="240"/>
    </row>
    <row r="46" spans="1:7" x14ac:dyDescent="0.25">
      <c r="A46" s="250">
        <v>1</v>
      </c>
      <c r="B46" s="251" t="s">
        <v>654</v>
      </c>
      <c r="C46" s="251" t="s">
        <v>655</v>
      </c>
      <c r="D46" s="252" t="s">
        <v>889</v>
      </c>
      <c r="E46" s="209" t="s">
        <v>656</v>
      </c>
      <c r="F46" s="239" t="s">
        <v>657</v>
      </c>
      <c r="G46" s="240"/>
    </row>
    <row r="47" spans="1:7" x14ac:dyDescent="0.25">
      <c r="A47" s="250">
        <v>1</v>
      </c>
      <c r="B47" s="251" t="s">
        <v>658</v>
      </c>
      <c r="C47" s="251" t="s">
        <v>659</v>
      </c>
      <c r="D47" s="252" t="s">
        <v>889</v>
      </c>
      <c r="E47" s="209" t="s">
        <v>660</v>
      </c>
      <c r="F47" s="239" t="s">
        <v>661</v>
      </c>
      <c r="G47" s="240"/>
    </row>
    <row r="48" spans="1:7" x14ac:dyDescent="0.25">
      <c r="A48" s="250">
        <v>1</v>
      </c>
      <c r="B48" s="251" t="s">
        <v>662</v>
      </c>
      <c r="C48" s="251" t="s">
        <v>663</v>
      </c>
      <c r="D48" s="252" t="s">
        <v>889</v>
      </c>
      <c r="E48" s="209" t="s">
        <v>664</v>
      </c>
      <c r="F48" s="239" t="s">
        <v>665</v>
      </c>
      <c r="G48" s="240"/>
    </row>
    <row r="49" spans="1:23" x14ac:dyDescent="0.25">
      <c r="A49" s="250">
        <v>1</v>
      </c>
      <c r="B49" s="251" t="s">
        <v>666</v>
      </c>
      <c r="C49" s="251" t="s">
        <v>667</v>
      </c>
      <c r="D49" s="252" t="s">
        <v>889</v>
      </c>
      <c r="E49" s="209" t="s">
        <v>668</v>
      </c>
      <c r="F49" s="239" t="s">
        <v>669</v>
      </c>
      <c r="G49" s="240"/>
    </row>
    <row r="50" spans="1:23" x14ac:dyDescent="0.25">
      <c r="A50" s="250">
        <v>1</v>
      </c>
      <c r="B50" s="251" t="s">
        <v>670</v>
      </c>
      <c r="C50" s="251" t="s">
        <v>671</v>
      </c>
      <c r="D50" s="252" t="s">
        <v>889</v>
      </c>
      <c r="E50" s="209" t="s">
        <v>672</v>
      </c>
      <c r="F50" s="239" t="s">
        <v>673</v>
      </c>
      <c r="G50" s="240"/>
    </row>
    <row r="51" spans="1:23" x14ac:dyDescent="0.25">
      <c r="A51" s="244">
        <v>17</v>
      </c>
      <c r="B51" s="245" t="s">
        <v>37</v>
      </c>
      <c r="C51" s="253"/>
      <c r="D51" s="245" t="s">
        <v>889</v>
      </c>
      <c r="E51" s="246" t="s">
        <v>631</v>
      </c>
      <c r="F51" s="239" t="s">
        <v>674</v>
      </c>
      <c r="G51" s="240"/>
      <c r="I51"/>
      <c r="J51"/>
      <c r="K51"/>
      <c r="L51"/>
      <c r="M51"/>
      <c r="N51"/>
      <c r="O51"/>
      <c r="P51"/>
      <c r="Q51"/>
      <c r="R51"/>
      <c r="S51"/>
      <c r="T51"/>
      <c r="U51"/>
      <c r="V51"/>
      <c r="W51"/>
    </row>
    <row r="52" spans="1:23" x14ac:dyDescent="0.25">
      <c r="A52" s="222"/>
      <c r="B52" s="222"/>
      <c r="C52" s="223"/>
      <c r="D52" s="223" t="s">
        <v>888</v>
      </c>
      <c r="E52" s="222"/>
      <c r="F52" s="222"/>
      <c r="G52" s="254"/>
      <c r="I52"/>
      <c r="J52"/>
      <c r="K52"/>
      <c r="L52"/>
      <c r="M52"/>
      <c r="N52"/>
      <c r="O52"/>
      <c r="P52"/>
      <c r="Q52"/>
      <c r="R52"/>
      <c r="S52"/>
      <c r="T52"/>
      <c r="U52"/>
      <c r="V52"/>
      <c r="W52"/>
    </row>
    <row r="53" spans="1:23" s="48" customFormat="1" x14ac:dyDescent="0.25">
      <c r="A53" s="196" t="s">
        <v>433</v>
      </c>
      <c r="B53" s="196"/>
      <c r="C53" s="197" t="s">
        <v>887</v>
      </c>
      <c r="D53" s="229" t="s">
        <v>887</v>
      </c>
      <c r="E53" s="255" t="s">
        <v>888</v>
      </c>
      <c r="F53" s="256" t="s">
        <v>888</v>
      </c>
      <c r="G53" s="199" t="s">
        <v>888</v>
      </c>
      <c r="H53" s="47"/>
      <c r="I53"/>
      <c r="J53"/>
      <c r="K53"/>
      <c r="L53"/>
      <c r="M53"/>
      <c r="N53"/>
      <c r="O53"/>
      <c r="P53"/>
      <c r="Q53"/>
      <c r="R53"/>
      <c r="S53"/>
      <c r="T53"/>
      <c r="U53"/>
      <c r="V53"/>
      <c r="W53"/>
    </row>
    <row r="54" spans="1:23" x14ac:dyDescent="0.25">
      <c r="A54" s="200" t="s">
        <v>366</v>
      </c>
      <c r="B54" s="201" t="s">
        <v>22</v>
      </c>
      <c r="C54" s="202" t="s">
        <v>368</v>
      </c>
      <c r="D54" s="230" t="s">
        <v>889</v>
      </c>
      <c r="E54" s="257" t="s">
        <v>370</v>
      </c>
      <c r="F54" s="258" t="s">
        <v>434</v>
      </c>
      <c r="G54" s="204" t="s">
        <v>372</v>
      </c>
      <c r="I54"/>
      <c r="J54"/>
      <c r="K54"/>
      <c r="L54"/>
      <c r="M54"/>
      <c r="N54"/>
      <c r="O54"/>
      <c r="P54"/>
      <c r="Q54"/>
      <c r="R54"/>
      <c r="S54"/>
      <c r="T54"/>
      <c r="U54"/>
      <c r="V54"/>
      <c r="W54"/>
    </row>
    <row r="55" spans="1:23" x14ac:dyDescent="0.25">
      <c r="A55" s="231" t="s">
        <v>675</v>
      </c>
      <c r="B55" s="206" t="s">
        <v>676</v>
      </c>
      <c r="C55" s="206" t="s">
        <v>677</v>
      </c>
      <c r="D55" s="216" t="s">
        <v>678</v>
      </c>
      <c r="E55" s="259" t="s">
        <v>679</v>
      </c>
      <c r="F55" s="260" t="s">
        <v>680</v>
      </c>
      <c r="G55" s="57" t="s">
        <v>681</v>
      </c>
      <c r="I55"/>
      <c r="J55"/>
      <c r="K55"/>
      <c r="L55"/>
      <c r="M55"/>
      <c r="N55"/>
      <c r="O55"/>
      <c r="P55"/>
      <c r="Q55"/>
      <c r="R55"/>
      <c r="S55"/>
      <c r="T55"/>
      <c r="U55"/>
      <c r="V55"/>
      <c r="W55"/>
    </row>
    <row r="56" spans="1:23" ht="120" customHeight="1" x14ac:dyDescent="0.25">
      <c r="A56" s="231">
        <v>1</v>
      </c>
      <c r="B56" s="206" t="s">
        <v>682</v>
      </c>
      <c r="C56" s="206" t="s">
        <v>683</v>
      </c>
      <c r="D56" s="216" t="s">
        <v>684</v>
      </c>
      <c r="E56" s="259" t="s">
        <v>685</v>
      </c>
      <c r="F56" s="260" t="s">
        <v>686</v>
      </c>
      <c r="G56" s="58" t="s">
        <v>687</v>
      </c>
      <c r="I56"/>
      <c r="J56"/>
      <c r="K56"/>
      <c r="L56"/>
      <c r="M56"/>
      <c r="N56"/>
      <c r="O56"/>
      <c r="P56"/>
      <c r="Q56"/>
      <c r="R56"/>
      <c r="S56"/>
      <c r="T56"/>
      <c r="U56"/>
      <c r="V56"/>
      <c r="W56"/>
    </row>
    <row r="57" spans="1:23" x14ac:dyDescent="0.25">
      <c r="A57" s="231">
        <v>5</v>
      </c>
      <c r="B57" s="232" t="s">
        <v>37</v>
      </c>
      <c r="C57" s="232"/>
      <c r="D57" s="236" t="s">
        <v>889</v>
      </c>
      <c r="E57" s="259" t="s">
        <v>688</v>
      </c>
      <c r="F57" s="260" t="s">
        <v>689</v>
      </c>
      <c r="G57" s="55"/>
    </row>
    <row r="58" spans="1:23" ht="30" x14ac:dyDescent="0.25">
      <c r="A58" s="231">
        <v>2</v>
      </c>
      <c r="B58" s="206" t="s">
        <v>610</v>
      </c>
      <c r="C58" s="206" t="s">
        <v>611</v>
      </c>
      <c r="D58" s="216" t="s">
        <v>612</v>
      </c>
      <c r="E58" s="259" t="s">
        <v>690</v>
      </c>
      <c r="F58" s="260" t="s">
        <v>691</v>
      </c>
      <c r="G58" s="54" t="s">
        <v>384</v>
      </c>
    </row>
    <row r="59" spans="1:23" x14ac:dyDescent="0.25">
      <c r="A59" s="231">
        <v>2</v>
      </c>
      <c r="B59" s="232" t="s">
        <v>37</v>
      </c>
      <c r="C59" s="232"/>
      <c r="D59" s="236" t="s">
        <v>889</v>
      </c>
      <c r="E59" s="259" t="s">
        <v>692</v>
      </c>
      <c r="F59" s="260" t="s">
        <v>693</v>
      </c>
      <c r="G59" s="54"/>
    </row>
    <row r="60" spans="1:23" ht="60" x14ac:dyDescent="0.25">
      <c r="A60" s="261">
        <v>1</v>
      </c>
      <c r="B60" s="206" t="s">
        <v>694</v>
      </c>
      <c r="C60" s="206" t="s">
        <v>695</v>
      </c>
      <c r="D60" s="216" t="s">
        <v>696</v>
      </c>
      <c r="E60" s="259" t="s">
        <v>697</v>
      </c>
      <c r="F60" s="260" t="s">
        <v>698</v>
      </c>
      <c r="G60" s="54" t="s">
        <v>699</v>
      </c>
    </row>
    <row r="61" spans="1:23" ht="30" x14ac:dyDescent="0.25">
      <c r="A61" s="261">
        <v>1</v>
      </c>
      <c r="B61" s="206" t="s">
        <v>700</v>
      </c>
      <c r="C61" s="206" t="s">
        <v>701</v>
      </c>
      <c r="D61" s="206" t="s">
        <v>702</v>
      </c>
      <c r="E61" s="259" t="s">
        <v>703</v>
      </c>
      <c r="F61" s="260" t="s">
        <v>704</v>
      </c>
      <c r="G61" s="54"/>
    </row>
    <row r="62" spans="1:23" ht="75" x14ac:dyDescent="0.25">
      <c r="A62" s="231">
        <v>3</v>
      </c>
      <c r="B62" s="206" t="s">
        <v>705</v>
      </c>
      <c r="C62" s="206" t="s">
        <v>706</v>
      </c>
      <c r="D62" s="216" t="s">
        <v>707</v>
      </c>
      <c r="E62" s="259" t="s">
        <v>708</v>
      </c>
      <c r="F62" s="260" t="s">
        <v>709</v>
      </c>
      <c r="G62" s="54" t="s">
        <v>710</v>
      </c>
    </row>
    <row r="63" spans="1:23" ht="45" x14ac:dyDescent="0.25">
      <c r="A63" s="231">
        <v>1</v>
      </c>
      <c r="B63" s="206" t="s">
        <v>711</v>
      </c>
      <c r="C63" s="206" t="s">
        <v>712</v>
      </c>
      <c r="D63" s="216" t="s">
        <v>713</v>
      </c>
      <c r="E63" s="259" t="s">
        <v>714</v>
      </c>
      <c r="F63" s="260" t="s">
        <v>715</v>
      </c>
      <c r="G63" s="54" t="s">
        <v>716</v>
      </c>
    </row>
    <row r="64" spans="1:23" x14ac:dyDescent="0.25">
      <c r="A64" s="231">
        <v>2</v>
      </c>
      <c r="B64" s="232" t="s">
        <v>36</v>
      </c>
      <c r="C64" s="262"/>
      <c r="D64" s="232"/>
      <c r="E64" s="259" t="s">
        <v>717</v>
      </c>
      <c r="F64" s="260" t="s">
        <v>718</v>
      </c>
      <c r="G64" s="54"/>
    </row>
    <row r="65" spans="1:7" x14ac:dyDescent="0.25">
      <c r="A65" s="231">
        <v>3</v>
      </c>
      <c r="B65" s="232" t="s">
        <v>36</v>
      </c>
      <c r="C65" s="262"/>
      <c r="D65" s="232"/>
      <c r="E65" s="259" t="s">
        <v>719</v>
      </c>
      <c r="F65" s="263" t="s">
        <v>720</v>
      </c>
      <c r="G65" s="54"/>
    </row>
    <row r="66" spans="1:7" x14ac:dyDescent="0.25">
      <c r="A66" s="231">
        <v>1</v>
      </c>
      <c r="B66" s="232" t="s">
        <v>36</v>
      </c>
      <c r="C66" s="232"/>
      <c r="D66" s="232"/>
      <c r="E66" s="259" t="s">
        <v>721</v>
      </c>
      <c r="F66" s="263" t="s">
        <v>722</v>
      </c>
      <c r="G66" s="54"/>
    </row>
    <row r="67" spans="1:7" ht="75" x14ac:dyDescent="0.25">
      <c r="A67" s="231">
        <v>2</v>
      </c>
      <c r="B67" s="206" t="s">
        <v>723</v>
      </c>
      <c r="C67" s="264" t="s">
        <v>724</v>
      </c>
      <c r="D67" s="265" t="s">
        <v>725</v>
      </c>
      <c r="E67" s="266" t="s">
        <v>726</v>
      </c>
      <c r="F67" s="267" t="s">
        <v>727</v>
      </c>
      <c r="G67" s="54" t="s">
        <v>728</v>
      </c>
    </row>
    <row r="68" spans="1:7" ht="135" x14ac:dyDescent="0.25">
      <c r="A68" s="231">
        <v>1</v>
      </c>
      <c r="B68" s="206" t="s">
        <v>729</v>
      </c>
      <c r="C68" s="206" t="s">
        <v>730</v>
      </c>
      <c r="D68" s="208" t="s">
        <v>731</v>
      </c>
      <c r="E68" s="268" t="s">
        <v>732</v>
      </c>
      <c r="F68" s="268" t="s">
        <v>733</v>
      </c>
      <c r="G68" s="54" t="s">
        <v>734</v>
      </c>
    </row>
    <row r="69" spans="1:7" x14ac:dyDescent="0.25">
      <c r="A69" s="231">
        <v>1</v>
      </c>
      <c r="B69" s="238" t="s">
        <v>735</v>
      </c>
      <c r="C69" s="238" t="s">
        <v>736</v>
      </c>
      <c r="D69" s="269" t="s">
        <v>737</v>
      </c>
      <c r="E69" s="268" t="s">
        <v>738</v>
      </c>
      <c r="F69" s="268" t="s">
        <v>739</v>
      </c>
      <c r="G69" s="54"/>
    </row>
    <row r="70" spans="1:7" ht="120" x14ac:dyDescent="0.25">
      <c r="A70" s="231">
        <v>1</v>
      </c>
      <c r="B70" s="206" t="s">
        <v>740</v>
      </c>
      <c r="C70" s="207" t="s">
        <v>741</v>
      </c>
      <c r="D70" s="208" t="s">
        <v>737</v>
      </c>
      <c r="E70" s="268" t="s">
        <v>742</v>
      </c>
      <c r="F70" s="268" t="s">
        <v>743</v>
      </c>
      <c r="G70" s="54" t="s">
        <v>744</v>
      </c>
    </row>
    <row r="71" spans="1:7" ht="120" x14ac:dyDescent="0.25">
      <c r="A71" s="231">
        <v>1</v>
      </c>
      <c r="B71" s="206" t="s">
        <v>745</v>
      </c>
      <c r="C71" s="212" t="s">
        <v>746</v>
      </c>
      <c r="D71" s="213" t="s">
        <v>737</v>
      </c>
      <c r="E71" s="268" t="s">
        <v>747</v>
      </c>
      <c r="F71" s="268" t="s">
        <v>748</v>
      </c>
      <c r="G71" s="54" t="s">
        <v>749</v>
      </c>
    </row>
    <row r="72" spans="1:7" ht="60" x14ac:dyDescent="0.25">
      <c r="A72" s="231">
        <v>1</v>
      </c>
      <c r="B72" s="206" t="s">
        <v>750</v>
      </c>
      <c r="C72" s="207" t="s">
        <v>751</v>
      </c>
      <c r="D72" s="207" t="s">
        <v>752</v>
      </c>
      <c r="E72" s="270" t="s">
        <v>753</v>
      </c>
      <c r="F72" s="271" t="s">
        <v>754</v>
      </c>
      <c r="G72" s="54" t="s">
        <v>755</v>
      </c>
    </row>
    <row r="73" spans="1:7" x14ac:dyDescent="0.25">
      <c r="A73" s="272">
        <v>2</v>
      </c>
      <c r="B73" s="273" t="s">
        <v>37</v>
      </c>
      <c r="C73" s="273"/>
      <c r="D73" s="274" t="s">
        <v>889</v>
      </c>
      <c r="E73" s="275" t="s">
        <v>756</v>
      </c>
      <c r="F73" s="276" t="s">
        <v>757</v>
      </c>
      <c r="G73" s="54"/>
    </row>
    <row r="74" spans="1:7" x14ac:dyDescent="0.25">
      <c r="A74" s="231">
        <v>3</v>
      </c>
      <c r="B74" s="232" t="s">
        <v>36</v>
      </c>
      <c r="C74" s="262"/>
      <c r="D74" s="232"/>
      <c r="E74" s="277" t="s">
        <v>758</v>
      </c>
      <c r="F74" s="278" t="s">
        <v>759</v>
      </c>
      <c r="G74" s="54"/>
    </row>
    <row r="75" spans="1:7" x14ac:dyDescent="0.25">
      <c r="A75" s="231">
        <v>1</v>
      </c>
      <c r="B75" s="232" t="s">
        <v>36</v>
      </c>
      <c r="C75" s="262"/>
      <c r="D75" s="232"/>
      <c r="E75" s="277" t="s">
        <v>760</v>
      </c>
      <c r="F75" s="271" t="s">
        <v>761</v>
      </c>
      <c r="G75" s="54"/>
    </row>
    <row r="76" spans="1:7" x14ac:dyDescent="0.25">
      <c r="A76" s="231">
        <v>2</v>
      </c>
      <c r="B76" s="232" t="s">
        <v>36</v>
      </c>
      <c r="C76" s="262"/>
      <c r="D76" s="232"/>
      <c r="E76" s="277" t="s">
        <v>762</v>
      </c>
      <c r="F76" s="271" t="s">
        <v>763</v>
      </c>
      <c r="G76" s="54"/>
    </row>
    <row r="77" spans="1:7" x14ac:dyDescent="0.25">
      <c r="A77" s="231">
        <v>1</v>
      </c>
      <c r="B77" s="206" t="s">
        <v>764</v>
      </c>
      <c r="C77" s="206" t="s">
        <v>765</v>
      </c>
      <c r="D77" s="279" t="s">
        <v>766</v>
      </c>
      <c r="E77" s="277" t="s">
        <v>767</v>
      </c>
      <c r="F77" s="271" t="s">
        <v>768</v>
      </c>
      <c r="G77" s="54"/>
    </row>
    <row r="78" spans="1:7" x14ac:dyDescent="0.25">
      <c r="A78" s="231">
        <v>1</v>
      </c>
      <c r="B78" s="206" t="s">
        <v>769</v>
      </c>
      <c r="C78" s="206" t="s">
        <v>770</v>
      </c>
      <c r="D78" s="279" t="s">
        <v>889</v>
      </c>
      <c r="E78" s="277" t="s">
        <v>771</v>
      </c>
      <c r="F78" s="271" t="s">
        <v>772</v>
      </c>
      <c r="G78" s="54"/>
    </row>
    <row r="79" spans="1:7" x14ac:dyDescent="0.25">
      <c r="A79" s="231">
        <v>1</v>
      </c>
      <c r="B79" s="206" t="s">
        <v>773</v>
      </c>
      <c r="C79" s="206" t="s">
        <v>774</v>
      </c>
      <c r="D79" s="279" t="s">
        <v>889</v>
      </c>
      <c r="E79" s="277" t="s">
        <v>775</v>
      </c>
      <c r="F79" s="271" t="s">
        <v>776</v>
      </c>
      <c r="G79" s="54"/>
    </row>
    <row r="80" spans="1:7" x14ac:dyDescent="0.25">
      <c r="A80" s="280">
        <v>1</v>
      </c>
      <c r="B80" s="206" t="s">
        <v>777</v>
      </c>
      <c r="C80" s="206" t="s">
        <v>778</v>
      </c>
      <c r="D80" s="279" t="s">
        <v>889</v>
      </c>
      <c r="E80" s="277" t="s">
        <v>779</v>
      </c>
      <c r="F80" s="271" t="s">
        <v>780</v>
      </c>
      <c r="G80" s="54"/>
    </row>
    <row r="81" spans="1:7" x14ac:dyDescent="0.25">
      <c r="A81" s="231">
        <v>1</v>
      </c>
      <c r="B81" s="206" t="s">
        <v>781</v>
      </c>
      <c r="C81" s="206" t="s">
        <v>782</v>
      </c>
      <c r="D81" s="279" t="s">
        <v>783</v>
      </c>
      <c r="E81" s="277" t="s">
        <v>784</v>
      </c>
      <c r="F81" s="271" t="s">
        <v>785</v>
      </c>
      <c r="G81" s="54"/>
    </row>
    <row r="82" spans="1:7" x14ac:dyDescent="0.25">
      <c r="A82" s="231">
        <v>1</v>
      </c>
      <c r="B82" s="206" t="s">
        <v>786</v>
      </c>
      <c r="C82" s="206" t="s">
        <v>787</v>
      </c>
      <c r="D82" s="279" t="s">
        <v>889</v>
      </c>
      <c r="E82" s="277" t="s">
        <v>788</v>
      </c>
      <c r="F82" s="271" t="s">
        <v>789</v>
      </c>
      <c r="G82" s="54"/>
    </row>
    <row r="83" spans="1:7" x14ac:dyDescent="0.25">
      <c r="A83" s="272">
        <v>4</v>
      </c>
      <c r="B83" s="273" t="s">
        <v>37</v>
      </c>
      <c r="C83" s="273"/>
      <c r="D83" s="281" t="s">
        <v>889</v>
      </c>
      <c r="E83" s="282" t="s">
        <v>790</v>
      </c>
      <c r="F83" s="276" t="s">
        <v>791</v>
      </c>
      <c r="G83" s="54"/>
    </row>
    <row r="84" spans="1:7" x14ac:dyDescent="0.25">
      <c r="A84" s="231">
        <v>3</v>
      </c>
      <c r="B84" s="232" t="s">
        <v>36</v>
      </c>
      <c r="C84" s="262"/>
      <c r="D84" s="232"/>
      <c r="E84" s="277" t="s">
        <v>792</v>
      </c>
      <c r="F84" s="271" t="s">
        <v>37</v>
      </c>
      <c r="G84" s="54"/>
    </row>
    <row r="85" spans="1:7" x14ac:dyDescent="0.25">
      <c r="A85" s="231">
        <v>1</v>
      </c>
      <c r="B85" s="232" t="s">
        <v>36</v>
      </c>
      <c r="C85" s="262"/>
      <c r="D85" s="232"/>
      <c r="E85" s="277" t="s">
        <v>793</v>
      </c>
      <c r="F85" s="271" t="s">
        <v>37</v>
      </c>
      <c r="G85" s="54"/>
    </row>
    <row r="86" spans="1:7" x14ac:dyDescent="0.25">
      <c r="A86" s="231">
        <v>2</v>
      </c>
      <c r="B86" s="232" t="s">
        <v>36</v>
      </c>
      <c r="C86" s="262"/>
      <c r="D86" s="232"/>
      <c r="E86" s="277" t="s">
        <v>794</v>
      </c>
      <c r="F86" s="271" t="s">
        <v>37</v>
      </c>
      <c r="G86" s="54"/>
    </row>
    <row r="87" spans="1:7" x14ac:dyDescent="0.25">
      <c r="A87" s="231">
        <v>1</v>
      </c>
      <c r="B87" s="206" t="s">
        <v>795</v>
      </c>
      <c r="C87" s="206" t="s">
        <v>765</v>
      </c>
      <c r="D87" s="279" t="s">
        <v>766</v>
      </c>
      <c r="E87" s="277" t="s">
        <v>796</v>
      </c>
      <c r="F87" s="271" t="s">
        <v>37</v>
      </c>
      <c r="G87" s="54"/>
    </row>
    <row r="88" spans="1:7" x14ac:dyDescent="0.25">
      <c r="A88" s="231">
        <v>1</v>
      </c>
      <c r="B88" s="206" t="s">
        <v>797</v>
      </c>
      <c r="C88" s="206" t="s">
        <v>770</v>
      </c>
      <c r="D88" s="279" t="s">
        <v>889</v>
      </c>
      <c r="E88" s="277" t="s">
        <v>798</v>
      </c>
      <c r="F88" s="271" t="s">
        <v>37</v>
      </c>
      <c r="G88" s="54"/>
    </row>
    <row r="89" spans="1:7" x14ac:dyDescent="0.25">
      <c r="A89" s="231">
        <v>1</v>
      </c>
      <c r="B89" s="206" t="s">
        <v>799</v>
      </c>
      <c r="C89" s="206" t="s">
        <v>774</v>
      </c>
      <c r="D89" s="279" t="s">
        <v>889</v>
      </c>
      <c r="E89" s="277" t="s">
        <v>800</v>
      </c>
      <c r="F89" s="271" t="s">
        <v>37</v>
      </c>
      <c r="G89" s="54"/>
    </row>
    <row r="90" spans="1:7" x14ac:dyDescent="0.25">
      <c r="A90" s="280">
        <v>1</v>
      </c>
      <c r="B90" s="206" t="s">
        <v>801</v>
      </c>
      <c r="C90" s="206" t="s">
        <v>778</v>
      </c>
      <c r="D90" s="279" t="s">
        <v>889</v>
      </c>
      <c r="E90" s="277" t="s">
        <v>802</v>
      </c>
      <c r="F90" s="271" t="s">
        <v>37</v>
      </c>
      <c r="G90" s="54"/>
    </row>
    <row r="91" spans="1:7" x14ac:dyDescent="0.25">
      <c r="A91" s="231">
        <v>1</v>
      </c>
      <c r="B91" s="206" t="s">
        <v>803</v>
      </c>
      <c r="C91" s="206" t="s">
        <v>782</v>
      </c>
      <c r="D91" s="279" t="s">
        <v>783</v>
      </c>
      <c r="E91" s="277" t="s">
        <v>804</v>
      </c>
      <c r="F91" s="271" t="s">
        <v>37</v>
      </c>
      <c r="G91" s="54"/>
    </row>
    <row r="92" spans="1:7" x14ac:dyDescent="0.25">
      <c r="A92" s="231">
        <v>1</v>
      </c>
      <c r="B92" s="206" t="s">
        <v>805</v>
      </c>
      <c r="C92" s="206" t="s">
        <v>787</v>
      </c>
      <c r="D92" s="279" t="s">
        <v>889</v>
      </c>
      <c r="E92" s="277" t="s">
        <v>806</v>
      </c>
      <c r="F92" s="271" t="s">
        <v>37</v>
      </c>
      <c r="G92" s="54"/>
    </row>
    <row r="93" spans="1:7" x14ac:dyDescent="0.25">
      <c r="A93" s="272">
        <v>4</v>
      </c>
      <c r="B93" s="273" t="s">
        <v>37</v>
      </c>
      <c r="C93" s="273"/>
      <c r="D93" s="281" t="s">
        <v>889</v>
      </c>
      <c r="E93" s="282" t="s">
        <v>807</v>
      </c>
      <c r="F93" s="271" t="s">
        <v>37</v>
      </c>
      <c r="G93" s="54"/>
    </row>
    <row r="94" spans="1:7" x14ac:dyDescent="0.25">
      <c r="C94" s="15"/>
      <c r="D94" s="15"/>
    </row>
    <row r="95" spans="1:7" x14ac:dyDescent="0.25">
      <c r="C95" s="15"/>
      <c r="D95" s="15"/>
    </row>
    <row r="96" spans="1:7" x14ac:dyDescent="0.25">
      <c r="C96" s="15"/>
      <c r="D96" s="15"/>
    </row>
    <row r="97" spans="2:5" x14ac:dyDescent="0.25">
      <c r="C97" s="15"/>
      <c r="D97" s="15"/>
    </row>
    <row r="98" spans="2:5" x14ac:dyDescent="0.25">
      <c r="C98" s="15"/>
      <c r="D98" s="15"/>
    </row>
    <row r="99" spans="2:5" x14ac:dyDescent="0.25">
      <c r="C99" s="15"/>
      <c r="D99" s="15"/>
    </row>
    <row r="100" spans="2:5" x14ac:dyDescent="0.25">
      <c r="C100" s="15"/>
      <c r="D100" s="15"/>
    </row>
    <row r="101" spans="2:5" x14ac:dyDescent="0.25">
      <c r="C101" s="15"/>
      <c r="D101" s="15"/>
    </row>
    <row r="102" spans="2:5" x14ac:dyDescent="0.25">
      <c r="C102" s="15"/>
      <c r="D102" s="15"/>
    </row>
    <row r="103" spans="2:5" x14ac:dyDescent="0.25">
      <c r="C103" s="15"/>
      <c r="D103" s="15"/>
    </row>
    <row r="104" spans="2:5" x14ac:dyDescent="0.25">
      <c r="C104" s="15"/>
      <c r="D104" s="15"/>
    </row>
    <row r="105" spans="2:5" x14ac:dyDescent="0.25">
      <c r="C105" s="15"/>
      <c r="D105" s="15"/>
    </row>
    <row r="106" spans="2:5" x14ac:dyDescent="0.25">
      <c r="B106"/>
      <c r="C106"/>
      <c r="D106"/>
      <c r="E106"/>
    </row>
    <row r="107" spans="2:5" x14ac:dyDescent="0.25">
      <c r="B107"/>
      <c r="C107"/>
      <c r="D107"/>
      <c r="E107"/>
    </row>
    <row r="108" spans="2:5" x14ac:dyDescent="0.25">
      <c r="B108"/>
      <c r="C108"/>
      <c r="D108"/>
      <c r="E108"/>
    </row>
    <row r="109" spans="2:5" x14ac:dyDescent="0.25">
      <c r="B109"/>
      <c r="C109"/>
      <c r="D109"/>
      <c r="E109"/>
    </row>
    <row r="110" spans="2:5" x14ac:dyDescent="0.25">
      <c r="B110"/>
      <c r="C110"/>
      <c r="D110"/>
      <c r="E110"/>
    </row>
    <row r="111" spans="2:5" x14ac:dyDescent="0.25">
      <c r="B111"/>
      <c r="C111"/>
      <c r="D111"/>
      <c r="E111"/>
    </row>
    <row r="112" spans="2:5" x14ac:dyDescent="0.25">
      <c r="B112"/>
      <c r="C112"/>
      <c r="D112"/>
      <c r="E112"/>
    </row>
    <row r="113" spans="2:5" x14ac:dyDescent="0.25">
      <c r="B113"/>
      <c r="C113"/>
      <c r="D113"/>
      <c r="E113"/>
    </row>
    <row r="114" spans="2:5" x14ac:dyDescent="0.25">
      <c r="B114"/>
      <c r="C114"/>
      <c r="D114"/>
      <c r="E114"/>
    </row>
    <row r="115" spans="2:5" x14ac:dyDescent="0.25">
      <c r="B115"/>
      <c r="C115"/>
      <c r="D115"/>
      <c r="E115"/>
    </row>
    <row r="116" spans="2:5" x14ac:dyDescent="0.25">
      <c r="B116"/>
      <c r="C116"/>
      <c r="D116"/>
      <c r="E116"/>
    </row>
    <row r="117" spans="2:5" x14ac:dyDescent="0.25">
      <c r="B117"/>
      <c r="C117"/>
      <c r="D117"/>
      <c r="E117"/>
    </row>
    <row r="118" spans="2:5" x14ac:dyDescent="0.25">
      <c r="B118"/>
      <c r="C118"/>
      <c r="D118"/>
      <c r="E118"/>
    </row>
    <row r="119" spans="2:5" x14ac:dyDescent="0.25">
      <c r="B119"/>
      <c r="C119"/>
      <c r="D119"/>
      <c r="E119"/>
    </row>
    <row r="120" spans="2:5" x14ac:dyDescent="0.25">
      <c r="B120"/>
      <c r="C120"/>
      <c r="D120"/>
      <c r="E120"/>
    </row>
    <row r="121" spans="2:5" x14ac:dyDescent="0.25">
      <c r="B121"/>
      <c r="C121"/>
      <c r="D121"/>
      <c r="E121"/>
    </row>
    <row r="122" spans="2:5" x14ac:dyDescent="0.25">
      <c r="B122"/>
      <c r="C122"/>
      <c r="D122"/>
      <c r="E122"/>
    </row>
    <row r="123" spans="2:5" x14ac:dyDescent="0.25">
      <c r="B123"/>
      <c r="C123"/>
      <c r="D123"/>
      <c r="E123"/>
    </row>
    <row r="124" spans="2:5" x14ac:dyDescent="0.25">
      <c r="B124"/>
      <c r="C124"/>
      <c r="D124"/>
      <c r="E124"/>
    </row>
    <row r="125" spans="2:5" x14ac:dyDescent="0.25">
      <c r="B125"/>
      <c r="C125"/>
      <c r="D125"/>
      <c r="E125"/>
    </row>
    <row r="126" spans="2:5" x14ac:dyDescent="0.25">
      <c r="B126"/>
      <c r="C126"/>
      <c r="D126"/>
      <c r="E126"/>
    </row>
    <row r="127" spans="2:5" x14ac:dyDescent="0.25">
      <c r="B127"/>
      <c r="C127"/>
      <c r="D127"/>
      <c r="E127"/>
    </row>
    <row r="128" spans="2:5" x14ac:dyDescent="0.25">
      <c r="B128"/>
      <c r="C128"/>
      <c r="D128"/>
      <c r="E128"/>
    </row>
    <row r="129" spans="2:5" x14ac:dyDescent="0.25">
      <c r="B129"/>
      <c r="C129"/>
      <c r="D129"/>
      <c r="E129"/>
    </row>
    <row r="130" spans="2:5" x14ac:dyDescent="0.25">
      <c r="B130"/>
      <c r="C130"/>
      <c r="D130"/>
      <c r="E130"/>
    </row>
    <row r="131" spans="2:5" x14ac:dyDescent="0.25">
      <c r="B131"/>
      <c r="C131"/>
      <c r="D131"/>
      <c r="E131"/>
    </row>
    <row r="132" spans="2:5" x14ac:dyDescent="0.25">
      <c r="B132"/>
      <c r="C132"/>
      <c r="D132"/>
      <c r="E132"/>
    </row>
    <row r="133" spans="2:5" x14ac:dyDescent="0.25">
      <c r="B133"/>
      <c r="C133"/>
      <c r="D133"/>
      <c r="E133"/>
    </row>
    <row r="134" spans="2:5" x14ac:dyDescent="0.25">
      <c r="B134"/>
      <c r="C134"/>
      <c r="D134"/>
      <c r="E134"/>
    </row>
    <row r="135" spans="2:5" x14ac:dyDescent="0.25">
      <c r="B135"/>
      <c r="C135"/>
      <c r="D135"/>
      <c r="E135"/>
    </row>
    <row r="136" spans="2:5" x14ac:dyDescent="0.25">
      <c r="B136"/>
      <c r="C136"/>
      <c r="D136"/>
      <c r="E136"/>
    </row>
    <row r="137" spans="2:5" x14ac:dyDescent="0.25">
      <c r="B137"/>
      <c r="C137"/>
      <c r="D137"/>
      <c r="E137"/>
    </row>
  </sheetData>
  <phoneticPr fontId="1" type="noConversion"/>
  <pageMargins left="0.7" right="0.7" top="0.75" bottom="0.75" header="0.3" footer="0.3"/>
  <pageSetup paperSize="9" scale="73" fitToHeight="0" orientation="landscape" r:id="rId1"/>
  <rowBreaks count="3" manualBreakCount="3">
    <brk id="18" max="16383" man="1"/>
    <brk id="52" max="16383" man="1"/>
    <brk id="93" max="16383" man="1"/>
  </rowBreaks>
  <ignoredErrors>
    <ignoredError sqref="A2 A3:A11"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G4"/>
  <sheetViews>
    <sheetView zoomScaleNormal="100" workbookViewId="0">
      <pane ySplit="1" topLeftCell="A2" activePane="bottomLeft" state="frozen"/>
      <selection pane="bottomLeft" activeCell="A16" sqref="A1:XFD1048576"/>
    </sheetView>
  </sheetViews>
  <sheetFormatPr defaultColWidth="9" defaultRowHeight="15.75" x14ac:dyDescent="0.25"/>
  <cols>
    <col min="1" max="1" width="16.375" style="82" customWidth="1"/>
    <col min="2" max="2" width="37" style="82" customWidth="1"/>
    <col min="3" max="4" width="10" style="82" customWidth="1"/>
    <col min="5" max="5" width="13.125" style="82" customWidth="1"/>
    <col min="6" max="6" width="67.375" style="82" customWidth="1"/>
    <col min="7" max="7" width="23.125" style="82" hidden="1" customWidth="1"/>
    <col min="8" max="16384" width="9" style="82"/>
  </cols>
  <sheetData>
    <row r="1" spans="1:7" s="76" customFormat="1" ht="37.5" x14ac:dyDescent="0.25">
      <c r="A1" s="75" t="s">
        <v>21</v>
      </c>
      <c r="B1" s="75" t="s">
        <v>22</v>
      </c>
      <c r="C1" s="75" t="s">
        <v>23</v>
      </c>
      <c r="D1" s="75" t="s">
        <v>24</v>
      </c>
      <c r="E1" s="75" t="s">
        <v>25</v>
      </c>
      <c r="F1" s="75" t="s">
        <v>26</v>
      </c>
      <c r="G1" s="75" t="s">
        <v>27</v>
      </c>
    </row>
    <row r="2" spans="1:7" x14ac:dyDescent="0.25">
      <c r="A2" s="77" t="s">
        <v>28</v>
      </c>
      <c r="B2" s="283" t="s">
        <v>808</v>
      </c>
      <c r="C2" s="79">
        <v>48128</v>
      </c>
      <c r="D2" s="79">
        <f t="shared" ref="D2" si="0">QUOTIENT(C2+7,8)</f>
        <v>6016</v>
      </c>
      <c r="E2" s="79">
        <f t="shared" ref="E2" si="1">QUOTIENT(D2+1,2)</f>
        <v>3008</v>
      </c>
      <c r="F2" s="80" t="s">
        <v>809</v>
      </c>
      <c r="G2" s="81"/>
    </row>
    <row r="3" spans="1:7" ht="19.5" customHeight="1" thickBot="1" x14ac:dyDescent="0.3">
      <c r="A3" s="83" t="str">
        <f>DEC2HEX(HEX2DEC(A2)+E2)</f>
        <v>BC0</v>
      </c>
      <c r="B3" s="84" t="s">
        <v>32</v>
      </c>
      <c r="C3" s="83">
        <f>SUM(C2:C2)</f>
        <v>48128</v>
      </c>
      <c r="D3" s="83">
        <f>SUM(D2:D2)</f>
        <v>6016</v>
      </c>
      <c r="E3" s="83">
        <f>SUM(E2:E2)</f>
        <v>3008</v>
      </c>
      <c r="F3" s="83"/>
      <c r="G3" s="85"/>
    </row>
    <row r="4" spans="1:7" ht="17.25" customHeight="1" x14ac:dyDescent="0.25">
      <c r="A4" s="79" t="str">
        <f>DEC2HEX(E4)</f>
        <v>BC0</v>
      </c>
      <c r="B4" s="79" t="s">
        <v>33</v>
      </c>
      <c r="C4" s="79">
        <f>E3*16</f>
        <v>48128</v>
      </c>
      <c r="D4" s="79">
        <f t="shared" ref="D4" si="2">QUOTIENT(C4+7,8)</f>
        <v>6016</v>
      </c>
      <c r="E4" s="79">
        <f t="shared" ref="E4" si="3">QUOTIENT(D4+1,2)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A0FCD-924A-402E-8A77-67DC980A0443}">
  <dimension ref="A1:G49"/>
  <sheetViews>
    <sheetView zoomScaleNormal="100" workbookViewId="0">
      <pane ySplit="1" topLeftCell="A2" activePane="bottomLeft" state="frozen"/>
      <selection pane="bottomLeft" activeCell="D19" sqref="A1:G47"/>
    </sheetView>
  </sheetViews>
  <sheetFormatPr defaultColWidth="8.875" defaultRowHeight="16.5" x14ac:dyDescent="0.25"/>
  <cols>
    <col min="1" max="1" width="27.125" style="15" customWidth="1"/>
    <col min="2" max="3" width="16.625" style="15" customWidth="1"/>
    <col min="4" max="4" width="12" style="15" customWidth="1"/>
    <col min="5" max="5" width="11.125" style="15" customWidth="1"/>
    <col min="6" max="6" width="13.625" style="15" customWidth="1"/>
    <col min="7" max="7" width="52.25" style="15" customWidth="1"/>
    <col min="8" max="16384" width="8.875" style="15"/>
  </cols>
  <sheetData>
    <row r="1" spans="1:7" ht="37.5" x14ac:dyDescent="0.25">
      <c r="A1" s="284" t="s">
        <v>22</v>
      </c>
      <c r="B1" s="284" t="s">
        <v>21</v>
      </c>
      <c r="C1" s="284" t="s">
        <v>810</v>
      </c>
      <c r="D1" s="284" t="s">
        <v>23</v>
      </c>
      <c r="E1" s="284" t="s">
        <v>24</v>
      </c>
      <c r="F1" s="284" t="s">
        <v>25</v>
      </c>
      <c r="G1" s="284" t="s">
        <v>26</v>
      </c>
    </row>
    <row r="2" spans="1:7" x14ac:dyDescent="0.25">
      <c r="A2" s="285" t="s">
        <v>811</v>
      </c>
      <c r="B2" s="286">
        <v>1000</v>
      </c>
      <c r="C2" s="286" t="str">
        <f>DEC2HEX(HEX2DEC(B2)*2)</f>
        <v>2000</v>
      </c>
      <c r="D2" s="287">
        <v>32</v>
      </c>
      <c r="E2" s="287">
        <f>QUOTIENT(D2+7,8)</f>
        <v>4</v>
      </c>
      <c r="F2" s="288">
        <f>QUOTIENT(E2+1,2)</f>
        <v>2</v>
      </c>
      <c r="G2" s="289" t="s">
        <v>812</v>
      </c>
    </row>
    <row r="3" spans="1:7" x14ac:dyDescent="0.25">
      <c r="A3" s="290"/>
      <c r="B3" s="286" t="str">
        <f>DEC2HEX(HEX2DEC(B2)+F2)</f>
        <v>1002</v>
      </c>
      <c r="C3" s="286" t="str">
        <f t="shared" ref="C3:C34" si="0">DEC2HEX(HEX2DEC(B3)*2)</f>
        <v>2004</v>
      </c>
      <c r="D3" s="287">
        <v>32</v>
      </c>
      <c r="E3" s="287">
        <f t="shared" ref="E3:E35" si="1">QUOTIENT(D3+7,8)</f>
        <v>4</v>
      </c>
      <c r="F3" s="288">
        <f t="shared" ref="F3:F35" si="2">QUOTIENT(E3+1,2)</f>
        <v>2</v>
      </c>
      <c r="G3" s="291" t="s">
        <v>813</v>
      </c>
    </row>
    <row r="4" spans="1:7" x14ac:dyDescent="0.25">
      <c r="A4" s="290"/>
      <c r="B4" s="286" t="str">
        <f t="shared" ref="B4:B22" si="3">DEC2HEX(HEX2DEC(B3)+F3)</f>
        <v>1004</v>
      </c>
      <c r="C4" s="286" t="str">
        <f t="shared" si="0"/>
        <v>2008</v>
      </c>
      <c r="D4" s="287">
        <v>32</v>
      </c>
      <c r="E4" s="287">
        <f t="shared" si="1"/>
        <v>4</v>
      </c>
      <c r="F4" s="288">
        <f t="shared" si="2"/>
        <v>2</v>
      </c>
      <c r="G4" s="291" t="s">
        <v>814</v>
      </c>
    </row>
    <row r="5" spans="1:7" x14ac:dyDescent="0.25">
      <c r="A5" s="290"/>
      <c r="B5" s="286" t="str">
        <f t="shared" si="3"/>
        <v>1006</v>
      </c>
      <c r="C5" s="286" t="str">
        <f t="shared" si="0"/>
        <v>200C</v>
      </c>
      <c r="D5" s="287">
        <v>32</v>
      </c>
      <c r="E5" s="287">
        <f t="shared" si="1"/>
        <v>4</v>
      </c>
      <c r="F5" s="288">
        <f t="shared" si="2"/>
        <v>2</v>
      </c>
      <c r="G5" s="291" t="s">
        <v>815</v>
      </c>
    </row>
    <row r="6" spans="1:7" x14ac:dyDescent="0.25">
      <c r="A6" s="290"/>
      <c r="B6" s="286" t="str">
        <f t="shared" si="3"/>
        <v>1008</v>
      </c>
      <c r="C6" s="286" t="str">
        <f t="shared" si="0"/>
        <v>2010</v>
      </c>
      <c r="D6" s="287">
        <v>32</v>
      </c>
      <c r="E6" s="287">
        <f t="shared" si="1"/>
        <v>4</v>
      </c>
      <c r="F6" s="288">
        <f t="shared" si="2"/>
        <v>2</v>
      </c>
      <c r="G6" s="291" t="s">
        <v>816</v>
      </c>
    </row>
    <row r="7" spans="1:7" x14ac:dyDescent="0.25">
      <c r="A7" s="290"/>
      <c r="B7" s="286" t="str">
        <f t="shared" si="3"/>
        <v>100A</v>
      </c>
      <c r="C7" s="286" t="str">
        <f t="shared" si="0"/>
        <v>2014</v>
      </c>
      <c r="D7" s="287">
        <v>32</v>
      </c>
      <c r="E7" s="287">
        <f t="shared" si="1"/>
        <v>4</v>
      </c>
      <c r="F7" s="288">
        <f t="shared" si="2"/>
        <v>2</v>
      </c>
      <c r="G7" s="291" t="s">
        <v>817</v>
      </c>
    </row>
    <row r="8" spans="1:7" x14ac:dyDescent="0.25">
      <c r="A8" s="290"/>
      <c r="B8" s="286" t="str">
        <f t="shared" si="3"/>
        <v>100C</v>
      </c>
      <c r="C8" s="286" t="str">
        <f t="shared" si="0"/>
        <v>2018</v>
      </c>
      <c r="D8" s="287">
        <v>32</v>
      </c>
      <c r="E8" s="287">
        <f t="shared" si="1"/>
        <v>4</v>
      </c>
      <c r="F8" s="288">
        <f t="shared" si="2"/>
        <v>2</v>
      </c>
      <c r="G8" s="291" t="s">
        <v>818</v>
      </c>
    </row>
    <row r="9" spans="1:7" x14ac:dyDescent="0.25">
      <c r="A9" s="290"/>
      <c r="B9" s="286" t="str">
        <f t="shared" si="3"/>
        <v>100E</v>
      </c>
      <c r="C9" s="286" t="str">
        <f t="shared" si="0"/>
        <v>201C</v>
      </c>
      <c r="D9" s="287">
        <v>32</v>
      </c>
      <c r="E9" s="287">
        <f t="shared" si="1"/>
        <v>4</v>
      </c>
      <c r="F9" s="288">
        <f t="shared" si="2"/>
        <v>2</v>
      </c>
      <c r="G9" s="291" t="s">
        <v>819</v>
      </c>
    </row>
    <row r="10" spans="1:7" x14ac:dyDescent="0.25">
      <c r="A10" s="290"/>
      <c r="B10" s="286" t="str">
        <f t="shared" si="3"/>
        <v>1010</v>
      </c>
      <c r="C10" s="286" t="str">
        <f t="shared" si="0"/>
        <v>2020</v>
      </c>
      <c r="D10" s="287">
        <v>32</v>
      </c>
      <c r="E10" s="287">
        <f t="shared" si="1"/>
        <v>4</v>
      </c>
      <c r="F10" s="288">
        <f t="shared" si="2"/>
        <v>2</v>
      </c>
      <c r="G10" s="291" t="s">
        <v>820</v>
      </c>
    </row>
    <row r="11" spans="1:7" x14ac:dyDescent="0.25">
      <c r="A11" s="290"/>
      <c r="B11" s="286" t="str">
        <f t="shared" si="3"/>
        <v>1012</v>
      </c>
      <c r="C11" s="286" t="str">
        <f t="shared" si="0"/>
        <v>2024</v>
      </c>
      <c r="D11" s="287">
        <v>32</v>
      </c>
      <c r="E11" s="287">
        <f t="shared" si="1"/>
        <v>4</v>
      </c>
      <c r="F11" s="288">
        <f t="shared" si="2"/>
        <v>2</v>
      </c>
      <c r="G11" s="291" t="s">
        <v>821</v>
      </c>
    </row>
    <row r="12" spans="1:7" x14ac:dyDescent="0.25">
      <c r="A12" s="290"/>
      <c r="B12" s="286" t="str">
        <f t="shared" si="3"/>
        <v>1014</v>
      </c>
      <c r="C12" s="286" t="str">
        <f t="shared" si="0"/>
        <v>2028</v>
      </c>
      <c r="D12" s="287">
        <v>32</v>
      </c>
      <c r="E12" s="287">
        <f t="shared" si="1"/>
        <v>4</v>
      </c>
      <c r="F12" s="288">
        <f t="shared" si="2"/>
        <v>2</v>
      </c>
      <c r="G12" s="291" t="s">
        <v>822</v>
      </c>
    </row>
    <row r="13" spans="1:7" x14ac:dyDescent="0.25">
      <c r="A13" s="290"/>
      <c r="B13" s="286" t="str">
        <f t="shared" si="3"/>
        <v>1016</v>
      </c>
      <c r="C13" s="286" t="str">
        <f t="shared" si="0"/>
        <v>202C</v>
      </c>
      <c r="D13" s="287">
        <v>32</v>
      </c>
      <c r="E13" s="287">
        <f t="shared" si="1"/>
        <v>4</v>
      </c>
      <c r="F13" s="288">
        <f t="shared" si="2"/>
        <v>2</v>
      </c>
      <c r="G13" s="291" t="s">
        <v>823</v>
      </c>
    </row>
    <row r="14" spans="1:7" x14ac:dyDescent="0.25">
      <c r="A14" s="290"/>
      <c r="B14" s="286" t="str">
        <f t="shared" si="3"/>
        <v>1018</v>
      </c>
      <c r="C14" s="286" t="str">
        <f t="shared" si="0"/>
        <v>2030</v>
      </c>
      <c r="D14" s="287">
        <v>32</v>
      </c>
      <c r="E14" s="287">
        <f t="shared" si="1"/>
        <v>4</v>
      </c>
      <c r="F14" s="288">
        <f t="shared" si="2"/>
        <v>2</v>
      </c>
      <c r="G14" s="291" t="s">
        <v>824</v>
      </c>
    </row>
    <row r="15" spans="1:7" x14ac:dyDescent="0.25">
      <c r="A15" s="290"/>
      <c r="B15" s="286" t="str">
        <f t="shared" si="3"/>
        <v>101A</v>
      </c>
      <c r="C15" s="286" t="str">
        <f t="shared" si="0"/>
        <v>2034</v>
      </c>
      <c r="D15" s="287">
        <v>32</v>
      </c>
      <c r="E15" s="287">
        <f t="shared" si="1"/>
        <v>4</v>
      </c>
      <c r="F15" s="288">
        <f t="shared" si="2"/>
        <v>2</v>
      </c>
      <c r="G15" s="291" t="s">
        <v>825</v>
      </c>
    </row>
    <row r="16" spans="1:7" x14ac:dyDescent="0.25">
      <c r="A16" s="290"/>
      <c r="B16" s="286" t="str">
        <f t="shared" si="3"/>
        <v>101C</v>
      </c>
      <c r="C16" s="286" t="str">
        <f t="shared" si="0"/>
        <v>2038</v>
      </c>
      <c r="D16" s="287">
        <v>32</v>
      </c>
      <c r="E16" s="287">
        <f t="shared" si="1"/>
        <v>4</v>
      </c>
      <c r="F16" s="288">
        <f t="shared" si="2"/>
        <v>2</v>
      </c>
      <c r="G16" s="291" t="s">
        <v>826</v>
      </c>
    </row>
    <row r="17" spans="1:7" x14ac:dyDescent="0.25">
      <c r="A17" s="290"/>
      <c r="B17" s="286" t="str">
        <f t="shared" si="3"/>
        <v>101E</v>
      </c>
      <c r="C17" s="286" t="str">
        <f t="shared" si="0"/>
        <v>203C</v>
      </c>
      <c r="D17" s="287">
        <v>32</v>
      </c>
      <c r="E17" s="287">
        <f t="shared" si="1"/>
        <v>4</v>
      </c>
      <c r="F17" s="288">
        <f t="shared" si="2"/>
        <v>2</v>
      </c>
      <c r="G17" s="291" t="s">
        <v>827</v>
      </c>
    </row>
    <row r="18" spans="1:7" x14ac:dyDescent="0.25">
      <c r="A18" s="290"/>
      <c r="B18" s="286" t="str">
        <f t="shared" si="3"/>
        <v>1020</v>
      </c>
      <c r="C18" s="286" t="str">
        <f t="shared" si="0"/>
        <v>2040</v>
      </c>
      <c r="D18" s="287">
        <v>32</v>
      </c>
      <c r="E18" s="287">
        <f t="shared" si="1"/>
        <v>4</v>
      </c>
      <c r="F18" s="288">
        <f t="shared" si="2"/>
        <v>2</v>
      </c>
      <c r="G18" s="292" t="s">
        <v>828</v>
      </c>
    </row>
    <row r="19" spans="1:7" x14ac:dyDescent="0.25">
      <c r="A19" s="290"/>
      <c r="B19" s="286" t="str">
        <f t="shared" si="3"/>
        <v>1022</v>
      </c>
      <c r="C19" s="286" t="str">
        <f t="shared" si="0"/>
        <v>2044</v>
      </c>
      <c r="D19" s="287">
        <v>32</v>
      </c>
      <c r="E19" s="287">
        <f t="shared" si="1"/>
        <v>4</v>
      </c>
      <c r="F19" s="288">
        <f t="shared" si="2"/>
        <v>2</v>
      </c>
      <c r="G19" s="292" t="s">
        <v>829</v>
      </c>
    </row>
    <row r="20" spans="1:7" x14ac:dyDescent="0.25">
      <c r="A20" s="290"/>
      <c r="B20" s="286" t="str">
        <f t="shared" si="3"/>
        <v>1024</v>
      </c>
      <c r="C20" s="286" t="str">
        <f t="shared" si="0"/>
        <v>2048</v>
      </c>
      <c r="D20" s="287">
        <v>32</v>
      </c>
      <c r="E20" s="287">
        <f t="shared" si="1"/>
        <v>4</v>
      </c>
      <c r="F20" s="288">
        <f t="shared" si="2"/>
        <v>2</v>
      </c>
      <c r="G20" s="292" t="s">
        <v>830</v>
      </c>
    </row>
    <row r="21" spans="1:7" x14ac:dyDescent="0.25">
      <c r="A21" s="290"/>
      <c r="B21" s="286" t="str">
        <f t="shared" si="3"/>
        <v>1026</v>
      </c>
      <c r="C21" s="286" t="str">
        <f t="shared" si="0"/>
        <v>204C</v>
      </c>
      <c r="D21" s="287">
        <v>32</v>
      </c>
      <c r="E21" s="287">
        <f t="shared" si="1"/>
        <v>4</v>
      </c>
      <c r="F21" s="288">
        <f t="shared" si="2"/>
        <v>2</v>
      </c>
      <c r="G21" s="292" t="s">
        <v>831</v>
      </c>
    </row>
    <row r="22" spans="1:7" x14ac:dyDescent="0.25">
      <c r="A22" s="290"/>
      <c r="B22" s="286" t="str">
        <f t="shared" si="3"/>
        <v>1028</v>
      </c>
      <c r="C22" s="286" t="str">
        <f t="shared" si="0"/>
        <v>2050</v>
      </c>
      <c r="D22" s="287">
        <v>1920</v>
      </c>
      <c r="E22" s="287">
        <f t="shared" si="1"/>
        <v>240</v>
      </c>
      <c r="F22" s="288">
        <f t="shared" si="2"/>
        <v>120</v>
      </c>
      <c r="G22" s="292" t="s">
        <v>832</v>
      </c>
    </row>
    <row r="23" spans="1:7" x14ac:dyDescent="0.25">
      <c r="A23" s="293" t="s">
        <v>833</v>
      </c>
      <c r="B23" s="294" t="str">
        <f>DEC2HEX(HEX2DEC(B22)+F22)</f>
        <v>10A0</v>
      </c>
      <c r="C23" s="294" t="str">
        <f t="shared" si="0"/>
        <v>2140</v>
      </c>
      <c r="D23" s="295">
        <f>SUM(D2:D22)</f>
        <v>2560</v>
      </c>
      <c r="E23" s="296">
        <f>SUM(E2:E22)</f>
        <v>320</v>
      </c>
      <c r="F23" s="294">
        <f>SUM(F2:F22)</f>
        <v>160</v>
      </c>
      <c r="G23" s="297" t="s">
        <v>834</v>
      </c>
    </row>
    <row r="24" spans="1:7" x14ac:dyDescent="0.25">
      <c r="A24" s="298" t="s">
        <v>835</v>
      </c>
      <c r="B24" s="299" t="s">
        <v>836</v>
      </c>
      <c r="C24" s="299" t="str">
        <f t="shared" si="0"/>
        <v>2140</v>
      </c>
      <c r="D24" s="287">
        <v>384</v>
      </c>
      <c r="E24" s="300">
        <f t="shared" si="1"/>
        <v>48</v>
      </c>
      <c r="F24" s="301">
        <f t="shared" si="2"/>
        <v>24</v>
      </c>
      <c r="G24" s="289" t="s">
        <v>837</v>
      </c>
    </row>
    <row r="25" spans="1:7" x14ac:dyDescent="0.25">
      <c r="A25" s="290"/>
      <c r="B25" s="286" t="str">
        <f t="shared" ref="B25:B43" si="4">DEC2HEX(HEX2DEC(B24)+F24)</f>
        <v>10B8</v>
      </c>
      <c r="C25" s="286" t="str">
        <f t="shared" si="0"/>
        <v>2170</v>
      </c>
      <c r="D25" s="287">
        <v>384</v>
      </c>
      <c r="E25" s="287">
        <f t="shared" si="1"/>
        <v>48</v>
      </c>
      <c r="F25" s="288">
        <f t="shared" si="2"/>
        <v>24</v>
      </c>
      <c r="G25" s="291" t="s">
        <v>838</v>
      </c>
    </row>
    <row r="26" spans="1:7" x14ac:dyDescent="0.25">
      <c r="A26" s="290"/>
      <c r="B26" s="286" t="str">
        <f t="shared" si="4"/>
        <v>10D0</v>
      </c>
      <c r="C26" s="286" t="str">
        <f t="shared" si="0"/>
        <v>21A0</v>
      </c>
      <c r="D26" s="287">
        <v>384</v>
      </c>
      <c r="E26" s="287">
        <f t="shared" si="1"/>
        <v>48</v>
      </c>
      <c r="F26" s="288">
        <f t="shared" si="2"/>
        <v>24</v>
      </c>
      <c r="G26" s="291" t="s">
        <v>839</v>
      </c>
    </row>
    <row r="27" spans="1:7" x14ac:dyDescent="0.25">
      <c r="A27" s="290"/>
      <c r="B27" s="286" t="str">
        <f t="shared" si="4"/>
        <v>10E8</v>
      </c>
      <c r="C27" s="286" t="str">
        <f t="shared" si="0"/>
        <v>21D0</v>
      </c>
      <c r="D27" s="287">
        <v>384</v>
      </c>
      <c r="E27" s="287">
        <f t="shared" si="1"/>
        <v>48</v>
      </c>
      <c r="F27" s="288">
        <f t="shared" si="2"/>
        <v>24</v>
      </c>
      <c r="G27" s="291" t="s">
        <v>840</v>
      </c>
    </row>
    <row r="28" spans="1:7" x14ac:dyDescent="0.25">
      <c r="A28" s="290"/>
      <c r="B28" s="286" t="str">
        <f t="shared" si="4"/>
        <v>1100</v>
      </c>
      <c r="C28" s="286" t="str">
        <f t="shared" si="0"/>
        <v>2200</v>
      </c>
      <c r="D28" s="287">
        <v>384</v>
      </c>
      <c r="E28" s="287">
        <f t="shared" si="1"/>
        <v>48</v>
      </c>
      <c r="F28" s="288">
        <f t="shared" si="2"/>
        <v>24</v>
      </c>
      <c r="G28" s="291" t="s">
        <v>841</v>
      </c>
    </row>
    <row r="29" spans="1:7" x14ac:dyDescent="0.25">
      <c r="A29" s="290"/>
      <c r="B29" s="286" t="str">
        <f t="shared" si="4"/>
        <v>1118</v>
      </c>
      <c r="C29" s="286" t="str">
        <f t="shared" si="0"/>
        <v>2230</v>
      </c>
      <c r="D29" s="287">
        <v>384</v>
      </c>
      <c r="E29" s="287">
        <f t="shared" si="1"/>
        <v>48</v>
      </c>
      <c r="F29" s="288">
        <f t="shared" si="2"/>
        <v>24</v>
      </c>
      <c r="G29" s="291" t="s">
        <v>842</v>
      </c>
    </row>
    <row r="30" spans="1:7" x14ac:dyDescent="0.25">
      <c r="A30" s="290"/>
      <c r="B30" s="286" t="str">
        <f t="shared" si="4"/>
        <v>1130</v>
      </c>
      <c r="C30" s="286" t="str">
        <f t="shared" si="0"/>
        <v>2260</v>
      </c>
      <c r="D30" s="287">
        <v>384</v>
      </c>
      <c r="E30" s="287">
        <f t="shared" si="1"/>
        <v>48</v>
      </c>
      <c r="F30" s="288">
        <f t="shared" si="2"/>
        <v>24</v>
      </c>
      <c r="G30" s="291" t="s">
        <v>843</v>
      </c>
    </row>
    <row r="31" spans="1:7" x14ac:dyDescent="0.25">
      <c r="A31" s="290"/>
      <c r="B31" s="286" t="str">
        <f t="shared" si="4"/>
        <v>1148</v>
      </c>
      <c r="C31" s="286" t="str">
        <f t="shared" si="0"/>
        <v>2290</v>
      </c>
      <c r="D31" s="287">
        <v>384</v>
      </c>
      <c r="E31" s="287">
        <f t="shared" si="1"/>
        <v>48</v>
      </c>
      <c r="F31" s="288">
        <f t="shared" si="2"/>
        <v>24</v>
      </c>
      <c r="G31" s="291" t="s">
        <v>844</v>
      </c>
    </row>
    <row r="32" spans="1:7" x14ac:dyDescent="0.25">
      <c r="A32" s="290"/>
      <c r="B32" s="286" t="str">
        <f t="shared" si="4"/>
        <v>1160</v>
      </c>
      <c r="C32" s="286" t="str">
        <f t="shared" si="0"/>
        <v>22C0</v>
      </c>
      <c r="D32" s="287">
        <v>384</v>
      </c>
      <c r="E32" s="287">
        <f t="shared" si="1"/>
        <v>48</v>
      </c>
      <c r="F32" s="288">
        <f t="shared" si="2"/>
        <v>24</v>
      </c>
      <c r="G32" s="291" t="s">
        <v>845</v>
      </c>
    </row>
    <row r="33" spans="1:7" x14ac:dyDescent="0.25">
      <c r="A33" s="290"/>
      <c r="B33" s="286" t="str">
        <f t="shared" si="4"/>
        <v>1178</v>
      </c>
      <c r="C33" s="286" t="str">
        <f t="shared" si="0"/>
        <v>22F0</v>
      </c>
      <c r="D33" s="287">
        <v>384</v>
      </c>
      <c r="E33" s="287">
        <f t="shared" si="1"/>
        <v>48</v>
      </c>
      <c r="F33" s="288">
        <f t="shared" si="2"/>
        <v>24</v>
      </c>
      <c r="G33" s="291" t="s">
        <v>846</v>
      </c>
    </row>
    <row r="34" spans="1:7" x14ac:dyDescent="0.25">
      <c r="A34" s="290"/>
      <c r="B34" s="286" t="str">
        <f t="shared" si="4"/>
        <v>1190</v>
      </c>
      <c r="C34" s="286" t="str">
        <f t="shared" si="0"/>
        <v>2320</v>
      </c>
      <c r="D34" s="287">
        <v>384</v>
      </c>
      <c r="E34" s="287">
        <f t="shared" si="1"/>
        <v>48</v>
      </c>
      <c r="F34" s="288">
        <f t="shared" si="2"/>
        <v>24</v>
      </c>
      <c r="G34" s="291" t="s">
        <v>847</v>
      </c>
    </row>
    <row r="35" spans="1:7" x14ac:dyDescent="0.25">
      <c r="A35" s="290"/>
      <c r="B35" s="286" t="str">
        <f t="shared" si="4"/>
        <v>11A8</v>
      </c>
      <c r="C35" s="286" t="str">
        <f t="shared" ref="C35:C43" si="5">DEC2HEX(HEX2DEC(B35)*2)</f>
        <v>2350</v>
      </c>
      <c r="D35" s="287">
        <v>384</v>
      </c>
      <c r="E35" s="287">
        <f t="shared" si="1"/>
        <v>48</v>
      </c>
      <c r="F35" s="288">
        <f t="shared" si="2"/>
        <v>24</v>
      </c>
      <c r="G35" s="291" t="s">
        <v>848</v>
      </c>
    </row>
    <row r="36" spans="1:7" x14ac:dyDescent="0.25">
      <c r="A36" s="290"/>
      <c r="B36" s="286" t="str">
        <f t="shared" si="4"/>
        <v>11C0</v>
      </c>
      <c r="C36" s="286" t="str">
        <f t="shared" si="5"/>
        <v>2380</v>
      </c>
      <c r="D36" s="287">
        <v>384</v>
      </c>
      <c r="E36" s="287">
        <f t="shared" ref="E36:E43" si="6">QUOTIENT(D36+7,8)</f>
        <v>48</v>
      </c>
      <c r="F36" s="288">
        <f t="shared" ref="F36:F43" si="7">QUOTIENT(E36+1,2)</f>
        <v>24</v>
      </c>
      <c r="G36" s="291" t="s">
        <v>849</v>
      </c>
    </row>
    <row r="37" spans="1:7" x14ac:dyDescent="0.25">
      <c r="A37" s="290"/>
      <c r="B37" s="286" t="str">
        <f t="shared" si="4"/>
        <v>11D8</v>
      </c>
      <c r="C37" s="286" t="str">
        <f t="shared" si="5"/>
        <v>23B0</v>
      </c>
      <c r="D37" s="287">
        <v>384</v>
      </c>
      <c r="E37" s="287">
        <f t="shared" si="6"/>
        <v>48</v>
      </c>
      <c r="F37" s="288">
        <f t="shared" si="7"/>
        <v>24</v>
      </c>
      <c r="G37" s="291" t="s">
        <v>850</v>
      </c>
    </row>
    <row r="38" spans="1:7" x14ac:dyDescent="0.25">
      <c r="A38" s="290"/>
      <c r="B38" s="286" t="str">
        <f t="shared" si="4"/>
        <v>11F0</v>
      </c>
      <c r="C38" s="286" t="str">
        <f t="shared" si="5"/>
        <v>23E0</v>
      </c>
      <c r="D38" s="287">
        <v>384</v>
      </c>
      <c r="E38" s="287">
        <f t="shared" si="6"/>
        <v>48</v>
      </c>
      <c r="F38" s="288">
        <f t="shared" si="7"/>
        <v>24</v>
      </c>
      <c r="G38" s="291" t="s">
        <v>851</v>
      </c>
    </row>
    <row r="39" spans="1:7" x14ac:dyDescent="0.25">
      <c r="A39" s="290"/>
      <c r="B39" s="286" t="str">
        <f t="shared" si="4"/>
        <v>1208</v>
      </c>
      <c r="C39" s="286" t="str">
        <f t="shared" si="5"/>
        <v>2410</v>
      </c>
      <c r="D39" s="287">
        <v>384</v>
      </c>
      <c r="E39" s="287">
        <f t="shared" si="6"/>
        <v>48</v>
      </c>
      <c r="F39" s="288">
        <f t="shared" si="7"/>
        <v>24</v>
      </c>
      <c r="G39" s="291" t="s">
        <v>852</v>
      </c>
    </row>
    <row r="40" spans="1:7" x14ac:dyDescent="0.25">
      <c r="A40" s="290"/>
      <c r="B40" s="286" t="str">
        <f t="shared" si="4"/>
        <v>1220</v>
      </c>
      <c r="C40" s="286" t="str">
        <f t="shared" si="5"/>
        <v>2440</v>
      </c>
      <c r="D40" s="287">
        <v>256</v>
      </c>
      <c r="E40" s="287">
        <f t="shared" si="6"/>
        <v>32</v>
      </c>
      <c r="F40" s="288">
        <f t="shared" si="7"/>
        <v>16</v>
      </c>
      <c r="G40" s="292" t="s">
        <v>853</v>
      </c>
    </row>
    <row r="41" spans="1:7" x14ac:dyDescent="0.25">
      <c r="A41" s="290"/>
      <c r="B41" s="286" t="str">
        <f t="shared" si="4"/>
        <v>1230</v>
      </c>
      <c r="C41" s="286" t="str">
        <f t="shared" si="5"/>
        <v>2460</v>
      </c>
      <c r="D41" s="287">
        <v>256</v>
      </c>
      <c r="E41" s="287">
        <f t="shared" si="6"/>
        <v>32</v>
      </c>
      <c r="F41" s="288">
        <f t="shared" si="7"/>
        <v>16</v>
      </c>
      <c r="G41" s="292" t="s">
        <v>854</v>
      </c>
    </row>
    <row r="42" spans="1:7" x14ac:dyDescent="0.25">
      <c r="A42" s="290"/>
      <c r="B42" s="286" t="str">
        <f t="shared" si="4"/>
        <v>1240</v>
      </c>
      <c r="C42" s="286" t="str">
        <f t="shared" si="5"/>
        <v>2480</v>
      </c>
      <c r="D42" s="287">
        <v>256</v>
      </c>
      <c r="E42" s="287">
        <f t="shared" si="6"/>
        <v>32</v>
      </c>
      <c r="F42" s="288">
        <f t="shared" si="7"/>
        <v>16</v>
      </c>
      <c r="G42" s="292" t="s">
        <v>855</v>
      </c>
    </row>
    <row r="43" spans="1:7" x14ac:dyDescent="0.25">
      <c r="A43" s="290"/>
      <c r="B43" s="286" t="str">
        <f t="shared" si="4"/>
        <v>1250</v>
      </c>
      <c r="C43" s="286" t="str">
        <f t="shared" si="5"/>
        <v>24A0</v>
      </c>
      <c r="D43" s="287">
        <v>256</v>
      </c>
      <c r="E43" s="287">
        <f t="shared" si="6"/>
        <v>32</v>
      </c>
      <c r="F43" s="288">
        <f t="shared" si="7"/>
        <v>16</v>
      </c>
      <c r="G43" s="292" t="s">
        <v>856</v>
      </c>
    </row>
    <row r="44" spans="1:7" x14ac:dyDescent="0.25">
      <c r="A44" s="290"/>
      <c r="B44" s="302" t="str">
        <f>DEC2HEX(HEX2DEC(B43)+F43)</f>
        <v>1260</v>
      </c>
      <c r="C44" s="302" t="str">
        <f t="shared" ref="C44:C45" si="8">DEC2HEX(HEX2DEC(B44)*2)</f>
        <v>24C0</v>
      </c>
      <c r="D44" s="303">
        <v>39424</v>
      </c>
      <c r="E44" s="303">
        <f t="shared" ref="E44" si="9">QUOTIENT(D44+7,8)</f>
        <v>4928</v>
      </c>
      <c r="F44" s="304">
        <f t="shared" ref="F44" si="10">QUOTIENT(E44+1,2)</f>
        <v>2464</v>
      </c>
      <c r="G44" s="305" t="s">
        <v>857</v>
      </c>
    </row>
    <row r="45" spans="1:7" x14ac:dyDescent="0.25">
      <c r="A45" s="293" t="s">
        <v>858</v>
      </c>
      <c r="B45" s="306" t="str">
        <f t="shared" ref="B45" si="11">DEC2HEX(HEX2DEC(B44)+F44)</f>
        <v>1C00</v>
      </c>
      <c r="C45" s="306" t="str">
        <f t="shared" si="8"/>
        <v>3800</v>
      </c>
      <c r="D45" s="296"/>
      <c r="E45" s="295"/>
      <c r="F45" s="307">
        <f>SUM(F24:F44)</f>
        <v>2912</v>
      </c>
      <c r="G45" s="307"/>
    </row>
    <row r="46" spans="1:7" x14ac:dyDescent="0.25">
      <c r="A46" s="308" t="s">
        <v>859</v>
      </c>
      <c r="B46" s="308" t="str">
        <f>DEC2HEX(F46)</f>
        <v>C00</v>
      </c>
      <c r="C46" s="308"/>
      <c r="D46" s="308">
        <f>F46*16</f>
        <v>49152</v>
      </c>
      <c r="E46" s="308"/>
      <c r="F46" s="308">
        <f>F45+F23</f>
        <v>3072</v>
      </c>
      <c r="G46" s="308"/>
    </row>
    <row r="47" spans="1:7" x14ac:dyDescent="0.25">
      <c r="A47" s="309" t="s">
        <v>860</v>
      </c>
      <c r="B47" s="310" t="s">
        <v>861</v>
      </c>
      <c r="C47" s="311"/>
      <c r="D47" s="224"/>
      <c r="E47" s="224"/>
      <c r="F47" s="224"/>
      <c r="G47" s="224"/>
    </row>
    <row r="49" spans="2:6" x14ac:dyDescent="0.25">
      <c r="B49" s="53" t="s">
        <v>862</v>
      </c>
      <c r="C49" s="53" t="str">
        <f t="shared" ref="C49" si="12">DEC2HEX(HEX2DEC(B49)*2)</f>
        <v>1800</v>
      </c>
      <c r="D49" s="52">
        <v>49152</v>
      </c>
      <c r="E49" s="52">
        <f>D49/8</f>
        <v>6144</v>
      </c>
      <c r="F49" s="53">
        <f>E49/2</f>
        <v>3072</v>
      </c>
    </row>
  </sheetData>
  <mergeCells count="2">
    <mergeCell ref="A2:A22"/>
    <mergeCell ref="A24:A44"/>
  </mergeCells>
  <phoneticPr fontId="1" type="noConversion"/>
  <pageMargins left="0.7" right="0.7" top="0.75" bottom="0.75" header="0.3" footer="0.3"/>
  <pageSetup paperSize="9" scale="63" orientation="portrait" r:id="rId1"/>
  <rowBreaks count="1" manualBreakCount="1">
    <brk id="23"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G13"/>
  <sheetViews>
    <sheetView zoomScaleNormal="100" workbookViewId="0">
      <pane ySplit="1" topLeftCell="A2" activePane="bottomLeft" state="frozen"/>
      <selection pane="bottomLeft" activeCell="F21" sqref="A1:XFD1048576"/>
    </sheetView>
  </sheetViews>
  <sheetFormatPr defaultColWidth="9" defaultRowHeight="15.75" x14ac:dyDescent="0.25"/>
  <cols>
    <col min="1" max="1" width="16.375" style="82" customWidth="1"/>
    <col min="2" max="2" width="29.875" style="82" customWidth="1"/>
    <col min="3" max="4" width="10" style="82" customWidth="1"/>
    <col min="5" max="5" width="13.125" style="82" customWidth="1"/>
    <col min="6" max="6" width="60.625" style="82" customWidth="1"/>
    <col min="7" max="7" width="23.125" style="82" hidden="1" customWidth="1"/>
    <col min="8" max="16384" width="9" style="82"/>
  </cols>
  <sheetData>
    <row r="1" spans="1:7" ht="37.5" x14ac:dyDescent="0.25">
      <c r="A1" s="284" t="s">
        <v>21</v>
      </c>
      <c r="B1" s="284" t="s">
        <v>22</v>
      </c>
      <c r="C1" s="284" t="s">
        <v>23</v>
      </c>
      <c r="D1" s="284" t="s">
        <v>24</v>
      </c>
      <c r="E1" s="284" t="s">
        <v>25</v>
      </c>
      <c r="F1" s="284" t="s">
        <v>26</v>
      </c>
      <c r="G1" s="284" t="s">
        <v>27</v>
      </c>
    </row>
    <row r="2" spans="1:7" ht="31.5" x14ac:dyDescent="0.25">
      <c r="A2" s="312" t="s">
        <v>861</v>
      </c>
      <c r="B2" s="87" t="s">
        <v>863</v>
      </c>
      <c r="C2" s="87">
        <v>1</v>
      </c>
      <c r="D2" s="87">
        <f t="shared" ref="D2" si="0">QUOTIENT(C2+7,8)</f>
        <v>1</v>
      </c>
      <c r="E2" s="87">
        <f t="shared" ref="E2" si="1">QUOTIENT(D2+1,2)</f>
        <v>1</v>
      </c>
      <c r="F2" s="87" t="s">
        <v>891</v>
      </c>
      <c r="G2" s="89" t="s">
        <v>864</v>
      </c>
    </row>
    <row r="3" spans="1:7" ht="31.5" x14ac:dyDescent="0.25">
      <c r="A3" s="88" t="str">
        <f t="shared" ref="A3:A11" si="2">DEC2HEX(HEX2DEC(A2)+E2)</f>
        <v>1C01</v>
      </c>
      <c r="B3" s="87" t="s">
        <v>865</v>
      </c>
      <c r="C3" s="87">
        <v>1</v>
      </c>
      <c r="D3" s="87">
        <f t="shared" ref="D3:D7" si="3">QUOTIENT(C3+7,8)</f>
        <v>1</v>
      </c>
      <c r="E3" s="87">
        <f t="shared" ref="E3:E7" si="4">QUOTIENT(D3+1,2)</f>
        <v>1</v>
      </c>
      <c r="F3" s="87" t="s">
        <v>892</v>
      </c>
      <c r="G3" s="87" t="s">
        <v>866</v>
      </c>
    </row>
    <row r="4" spans="1:7" ht="31.5" x14ac:dyDescent="0.25">
      <c r="A4" s="88" t="str">
        <f t="shared" si="2"/>
        <v>1C02</v>
      </c>
      <c r="B4" s="87" t="s">
        <v>867</v>
      </c>
      <c r="C4" s="87">
        <v>256</v>
      </c>
      <c r="D4" s="89">
        <f t="shared" si="3"/>
        <v>32</v>
      </c>
      <c r="E4" s="89">
        <f t="shared" si="4"/>
        <v>16</v>
      </c>
      <c r="F4" s="87" t="s">
        <v>893</v>
      </c>
      <c r="G4" s="87" t="s">
        <v>868</v>
      </c>
    </row>
    <row r="5" spans="1:7" ht="31.5" x14ac:dyDescent="0.25">
      <c r="A5" s="88" t="str">
        <f t="shared" si="2"/>
        <v>1C12</v>
      </c>
      <c r="B5" s="313" t="s">
        <v>869</v>
      </c>
      <c r="C5" s="89">
        <v>384</v>
      </c>
      <c r="D5" s="89">
        <f t="shared" ref="D5" si="5">QUOTIENT(C5+7,8)</f>
        <v>48</v>
      </c>
      <c r="E5" s="89">
        <f t="shared" ref="E5" si="6">QUOTIENT(D5+1,2)</f>
        <v>24</v>
      </c>
      <c r="F5" s="87" t="s">
        <v>894</v>
      </c>
      <c r="G5" s="87" t="s">
        <v>870</v>
      </c>
    </row>
    <row r="6" spans="1:7" ht="158.25" x14ac:dyDescent="0.25">
      <c r="A6" s="88" t="str">
        <f t="shared" si="2"/>
        <v>1C2A</v>
      </c>
      <c r="B6" s="313" t="s">
        <v>871</v>
      </c>
      <c r="C6" s="89">
        <v>768</v>
      </c>
      <c r="D6" s="89">
        <f t="shared" si="3"/>
        <v>96</v>
      </c>
      <c r="E6" s="89">
        <f t="shared" si="4"/>
        <v>48</v>
      </c>
      <c r="F6" s="87" t="s">
        <v>895</v>
      </c>
      <c r="G6" s="87" t="s">
        <v>868</v>
      </c>
    </row>
    <row r="7" spans="1:7" ht="31.5" x14ac:dyDescent="0.25">
      <c r="A7" s="88" t="str">
        <f t="shared" si="2"/>
        <v>1C5A</v>
      </c>
      <c r="B7" s="313" t="s">
        <v>872</v>
      </c>
      <c r="C7" s="89">
        <v>128</v>
      </c>
      <c r="D7" s="89">
        <f t="shared" si="3"/>
        <v>16</v>
      </c>
      <c r="E7" s="89">
        <f t="shared" si="4"/>
        <v>8</v>
      </c>
      <c r="F7" s="87" t="s">
        <v>896</v>
      </c>
      <c r="G7" s="87" t="s">
        <v>868</v>
      </c>
    </row>
    <row r="8" spans="1:7" ht="78.75" x14ac:dyDescent="0.25">
      <c r="A8" s="88" t="str">
        <f t="shared" si="2"/>
        <v>1C62</v>
      </c>
      <c r="B8" s="313" t="s">
        <v>873</v>
      </c>
      <c r="C8" s="89">
        <v>8192</v>
      </c>
      <c r="D8" s="89">
        <f t="shared" ref="D8:D9" si="7">QUOTIENT(C8+7,8)</f>
        <v>1024</v>
      </c>
      <c r="E8" s="89">
        <f t="shared" ref="E8:E9" si="8">QUOTIENT(D8+1,2)</f>
        <v>512</v>
      </c>
      <c r="F8" s="87" t="s">
        <v>874</v>
      </c>
      <c r="G8" s="87" t="s">
        <v>868</v>
      </c>
    </row>
    <row r="9" spans="1:7" x14ac:dyDescent="0.25">
      <c r="A9" s="88" t="str">
        <f t="shared" si="2"/>
        <v>1E62</v>
      </c>
      <c r="B9" s="313" t="s">
        <v>875</v>
      </c>
      <c r="C9" s="89">
        <v>768</v>
      </c>
      <c r="D9" s="89">
        <f t="shared" si="7"/>
        <v>96</v>
      </c>
      <c r="E9" s="89">
        <f t="shared" si="8"/>
        <v>48</v>
      </c>
      <c r="F9" s="87" t="s">
        <v>876</v>
      </c>
      <c r="G9" s="87" t="s">
        <v>868</v>
      </c>
    </row>
    <row r="10" spans="1:7" ht="18.75" customHeight="1" thickBot="1" x14ac:dyDescent="0.3">
      <c r="A10" s="88" t="str">
        <f>DEC2HEX(HEX2DEC(A9)+E9)</f>
        <v>1E92</v>
      </c>
      <c r="B10" s="93" t="s">
        <v>36</v>
      </c>
      <c r="C10" s="93">
        <v>3808</v>
      </c>
      <c r="D10" s="93">
        <f t="shared" ref="D10" si="9">QUOTIENT(C10+7,8)</f>
        <v>476</v>
      </c>
      <c r="E10" s="93">
        <f t="shared" ref="E10" si="10">QUOTIENT(D10+1,2)</f>
        <v>238</v>
      </c>
      <c r="F10" s="93" t="s">
        <v>857</v>
      </c>
      <c r="G10" s="93"/>
    </row>
    <row r="11" spans="1:7" ht="19.5" customHeight="1" thickBot="1" x14ac:dyDescent="0.3">
      <c r="A11" s="83" t="str">
        <f t="shared" si="2"/>
        <v>1F80</v>
      </c>
      <c r="B11" s="84" t="s">
        <v>32</v>
      </c>
      <c r="C11" s="83">
        <f>SUM(C2:C10)</f>
        <v>14306</v>
      </c>
      <c r="D11" s="83">
        <f>SUM(D2:D10)</f>
        <v>1790</v>
      </c>
      <c r="E11" s="83">
        <f>SUM(E2:E10)</f>
        <v>896</v>
      </c>
      <c r="F11" s="83"/>
      <c r="G11" s="85"/>
    </row>
    <row r="12" spans="1:7" ht="17.25" customHeight="1" x14ac:dyDescent="0.25">
      <c r="A12" s="79" t="str">
        <f>DEC2HEX(E12)</f>
        <v>380</v>
      </c>
      <c r="B12" s="79" t="s">
        <v>33</v>
      </c>
      <c r="C12" s="79">
        <f>E11*16</f>
        <v>14336</v>
      </c>
      <c r="D12" s="79">
        <f t="shared" ref="D12" si="11">QUOTIENT(C12+7,8)</f>
        <v>1792</v>
      </c>
      <c r="E12" s="79">
        <f t="shared" ref="E12" si="12">QUOTIENT(D12+1,2)</f>
        <v>896</v>
      </c>
    </row>
    <row r="13" spans="1:7" x14ac:dyDescent="0.25">
      <c r="A13" s="87" t="s">
        <v>877</v>
      </c>
      <c r="B13" s="87" t="s">
        <v>878</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G9"/>
  <sheetViews>
    <sheetView zoomScaleNormal="100" workbookViewId="0">
      <pane ySplit="1" topLeftCell="A2" activePane="bottomLeft" state="frozen"/>
      <selection pane="bottomLeft" activeCell="C32" sqref="C32"/>
    </sheetView>
  </sheetViews>
  <sheetFormatPr defaultColWidth="9" defaultRowHeight="15.75" x14ac:dyDescent="0.25"/>
  <cols>
    <col min="1" max="1" width="20" style="82" customWidth="1"/>
    <col min="2" max="2" width="16.375" style="82" customWidth="1"/>
    <col min="3" max="4" width="10" style="82" customWidth="1"/>
    <col min="5" max="5" width="13.125" style="82" customWidth="1"/>
    <col min="6" max="6" width="57.875" style="82" customWidth="1"/>
    <col min="7" max="7" width="23.125" style="82" hidden="1" customWidth="1"/>
    <col min="8" max="16384" width="9" style="82"/>
  </cols>
  <sheetData>
    <row r="1" spans="1:7" ht="37.5" x14ac:dyDescent="0.25">
      <c r="A1" s="284" t="s">
        <v>21</v>
      </c>
      <c r="B1" s="284" t="s">
        <v>22</v>
      </c>
      <c r="C1" s="284" t="s">
        <v>23</v>
      </c>
      <c r="D1" s="284" t="s">
        <v>24</v>
      </c>
      <c r="E1" s="284" t="s">
        <v>25</v>
      </c>
      <c r="F1" s="284" t="s">
        <v>26</v>
      </c>
      <c r="G1" s="284" t="s">
        <v>369</v>
      </c>
    </row>
    <row r="2" spans="1:7" ht="18.75" customHeight="1" x14ac:dyDescent="0.25">
      <c r="A2" s="314" t="s">
        <v>877</v>
      </c>
      <c r="B2" s="313" t="s">
        <v>879</v>
      </c>
      <c r="C2" s="89">
        <v>512</v>
      </c>
      <c r="D2" s="89">
        <f>QUOTIENT(C2+7,8)</f>
        <v>64</v>
      </c>
      <c r="E2" s="89">
        <f>QUOTIENT(D2+1,2)</f>
        <v>32</v>
      </c>
      <c r="F2" s="87" t="s">
        <v>880</v>
      </c>
      <c r="G2" s="89"/>
    </row>
    <row r="3" spans="1:7" x14ac:dyDescent="0.25">
      <c r="A3" s="315" t="str">
        <f t="shared" ref="A3:A8" si="0">DEC2HEX(HEX2DEC(A2)+E2)</f>
        <v>1FA0</v>
      </c>
      <c r="B3" s="313" t="s">
        <v>881</v>
      </c>
      <c r="C3" s="89">
        <v>256</v>
      </c>
      <c r="D3" s="89">
        <f>QUOTIENT(C3+7,8)</f>
        <v>32</v>
      </c>
      <c r="E3" s="89">
        <f t="shared" ref="E3:E7" si="1">QUOTIENT(D3+1,2)</f>
        <v>16</v>
      </c>
      <c r="F3" s="316" t="s">
        <v>882</v>
      </c>
      <c r="G3" s="89" t="s">
        <v>868</v>
      </c>
    </row>
    <row r="4" spans="1:7" x14ac:dyDescent="0.25">
      <c r="A4" s="315" t="str">
        <f t="shared" si="0"/>
        <v>1FB0</v>
      </c>
      <c r="B4" s="313" t="s">
        <v>881</v>
      </c>
      <c r="C4" s="89">
        <v>384</v>
      </c>
      <c r="D4" s="89">
        <f t="shared" ref="D4:D7" si="2">QUOTIENT(C4+7,8)</f>
        <v>48</v>
      </c>
      <c r="E4" s="89">
        <f t="shared" si="1"/>
        <v>24</v>
      </c>
      <c r="F4" s="316" t="s">
        <v>883</v>
      </c>
      <c r="G4" s="89" t="s">
        <v>868</v>
      </c>
    </row>
    <row r="5" spans="1:7" x14ac:dyDescent="0.25">
      <c r="A5" s="315" t="str">
        <f t="shared" si="0"/>
        <v>1FC8</v>
      </c>
      <c r="B5" s="313" t="s">
        <v>881</v>
      </c>
      <c r="C5" s="89">
        <v>256</v>
      </c>
      <c r="D5" s="89">
        <f t="shared" si="2"/>
        <v>32</v>
      </c>
      <c r="E5" s="89">
        <f t="shared" si="1"/>
        <v>16</v>
      </c>
      <c r="F5" s="316" t="s">
        <v>884</v>
      </c>
      <c r="G5" s="89" t="s">
        <v>868</v>
      </c>
    </row>
    <row r="6" spans="1:7" x14ac:dyDescent="0.25">
      <c r="A6" s="315" t="str">
        <f t="shared" si="0"/>
        <v>1FD8</v>
      </c>
      <c r="B6" s="313" t="s">
        <v>881</v>
      </c>
      <c r="C6" s="89">
        <v>256</v>
      </c>
      <c r="D6" s="89">
        <f t="shared" si="2"/>
        <v>32</v>
      </c>
      <c r="E6" s="89">
        <f t="shared" si="1"/>
        <v>16</v>
      </c>
      <c r="F6" s="316" t="s">
        <v>885</v>
      </c>
      <c r="G6" s="89" t="s">
        <v>886</v>
      </c>
    </row>
    <row r="7" spans="1:7" x14ac:dyDescent="0.25">
      <c r="A7" s="315" t="str">
        <f t="shared" si="0"/>
        <v>1FE8</v>
      </c>
      <c r="B7" s="313" t="s">
        <v>881</v>
      </c>
      <c r="C7" s="89">
        <v>384</v>
      </c>
      <c r="D7" s="89">
        <f t="shared" si="2"/>
        <v>48</v>
      </c>
      <c r="E7" s="89">
        <f t="shared" si="1"/>
        <v>24</v>
      </c>
      <c r="F7" s="316" t="s">
        <v>37</v>
      </c>
      <c r="G7" s="89"/>
    </row>
    <row r="8" spans="1:7" ht="19.5" customHeight="1" x14ac:dyDescent="0.25">
      <c r="A8" s="317" t="str">
        <f t="shared" si="0"/>
        <v>2000</v>
      </c>
      <c r="B8" s="317" t="s">
        <v>859</v>
      </c>
      <c r="C8" s="318">
        <f>SUM(C2:C7)</f>
        <v>2048</v>
      </c>
      <c r="D8" s="318">
        <f>SUM(D2:D7)</f>
        <v>256</v>
      </c>
      <c r="E8" s="318">
        <f>SUM(E2:E7)</f>
        <v>128</v>
      </c>
      <c r="F8" s="318"/>
      <c r="G8" s="318"/>
    </row>
    <row r="9" spans="1:7" ht="17.25" customHeight="1" x14ac:dyDescent="0.25">
      <c r="A9" s="87">
        <v>80</v>
      </c>
      <c r="B9" s="87" t="s">
        <v>33</v>
      </c>
      <c r="C9" s="87">
        <f>E8*16</f>
        <v>2048</v>
      </c>
      <c r="D9" s="87">
        <f t="shared" ref="D9" si="3">QUOTIENT(C9+7,8)</f>
        <v>256</v>
      </c>
      <c r="E9" s="87">
        <f t="shared" ref="E9" si="4">QUOTIENT(D9+1,2)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654f0fd82cf63892ebbd90f2acad630f">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3e7119446277442fdae9f00cff801906"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3481227-6A0B-40D6-BF8F-36BAED43F2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6808489-AD29-49EF-A920-5725306266D8}">
  <ds:schemaRefs>
    <ds:schemaRef ds:uri="http://schemas.microsoft.com/sharepoint/v3/contenttype/forms"/>
  </ds:schemaRefs>
</ds:datastoreItem>
</file>

<file path=customXml/itemProps3.xml><?xml version="1.0" encoding="utf-8"?>
<ds:datastoreItem xmlns:ds="http://schemas.openxmlformats.org/officeDocument/2006/customXml" ds:itemID="{58344122-BFEB-4801-99ED-3DACB961442B}">
  <ds:schemaRefs>
    <ds:schemaRef ds:uri="http://schemas.microsoft.com/office/2006/metadata/properties"/>
    <ds:schemaRef ds:uri="http://schemas.microsoft.com/office/infopath/2007/PartnerControls"/>
    <ds:schemaRef ds:uri="0358a91d-8923-4300-9035-92feb74d70aa"/>
    <ds:schemaRef ds:uri="94916c3f-a887-466e-9071-419f2f5fc06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8</vt:i4>
      </vt:variant>
    </vt:vector>
  </HeadingPairs>
  <TitlesOfParts>
    <vt:vector size="18" baseType="lpstr">
      <vt:lpstr>Summary</vt:lpstr>
      <vt:lpstr>OTPROM</vt:lpstr>
      <vt:lpstr>OTPRBP</vt:lpstr>
      <vt:lpstr>OTPCFG</vt:lpstr>
      <vt:lpstr>OTPSTRAP</vt:lpstr>
      <vt:lpstr>OTPSTRAP_EXT</vt:lpstr>
      <vt:lpstr>OTPUSR</vt:lpstr>
      <vt:lpstr>OTPSEC</vt:lpstr>
      <vt:lpstr>OTPCAL</vt:lpstr>
      <vt:lpstr>OTPPUF</vt:lpstr>
      <vt:lpstr>OTPCAL!Print_Area</vt:lpstr>
      <vt:lpstr>OTPCFG!Print_Area</vt:lpstr>
      <vt:lpstr>OTPPUF!Print_Area</vt:lpstr>
      <vt:lpstr>OTPRBP!Print_Area</vt:lpstr>
      <vt:lpstr>OTPROM!Print_Area</vt:lpstr>
      <vt:lpstr>OTPSEC!Print_Area</vt:lpstr>
      <vt:lpstr>OTPSTRAP!Print_Area</vt:lpstr>
      <vt:lpstr>OTPSTRAP_EXT!Print_Area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Neal Liu</cp:lastModifiedBy>
  <cp:revision/>
  <dcterms:created xsi:type="dcterms:W3CDTF">2023-01-30T05:35:21Z</dcterms:created>
  <dcterms:modified xsi:type="dcterms:W3CDTF">2025-12-15T06:48:40Z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