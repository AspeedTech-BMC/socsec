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D:\sdk\ast2700\OTP\otp_memory\"/>
    </mc:Choice>
  </mc:AlternateContent>
  <xr:revisionPtr revIDLastSave="0" documentId="13_ncr:1_{9758B047-DE5A-409A-8E5F-8BF5200D6AE7}" xr6:coauthVersionLast="47" xr6:coauthVersionMax="47" xr10:uidLastSave="{00000000-0000-0000-0000-000000000000}"/>
  <bookViews>
    <workbookView xWindow="-120" yWindow="-120" windowWidth="29040" windowHeight="15720" activeTab="7" xr2:uid="{40652B66-A45B-48BE-91E6-4A13E915CABA}"/>
  </bookViews>
  <sheets>
    <sheet name="Summary" sheetId="6" r:id="rId1"/>
    <sheet name="OTPROM" sheetId="26" r:id="rId2"/>
    <sheet name="OTPRBP" sheetId="22" r:id="rId3"/>
    <sheet name="OTPCFG" sheetId="21" r:id="rId4"/>
    <sheet name="OTPSTRAP" sheetId="28" r:id="rId5"/>
    <sheet name="OTPSTRAP_EXT" sheetId="29" r:id="rId6"/>
    <sheet name="OTPUSR" sheetId="27" r:id="rId7"/>
    <sheet name="OTPSEC" sheetId="25" r:id="rId8"/>
    <sheet name="OTPCAL" sheetId="15" r:id="rId9"/>
    <sheet name="OTPPUF" sheetId="30" r:id="rId10"/>
  </sheets>
  <definedNames>
    <definedName name="otp_macro_base" localSheetId="9">#REF!</definedName>
    <definedName name="otp_macro_base">#REF!</definedName>
    <definedName name="_xlnm.Print_Area" localSheetId="8">OTPCAL!$A$1:$G$11</definedName>
    <definedName name="_xlnm.Print_Area" localSheetId="3">OTPCFG!$A$1:$G$125</definedName>
    <definedName name="_xlnm.Print_Area" localSheetId="9">OTPPUF!$A$1:$G$8</definedName>
    <definedName name="_xlnm.Print_Area" localSheetId="2">OTPRBP!$A$1:$H$12</definedName>
    <definedName name="_xlnm.Print_Area" localSheetId="1">OTPROM!$A$1:$G$3</definedName>
    <definedName name="_xlnm.Print_Area" localSheetId="7">OTPSEC!$A$1:$G$46</definedName>
    <definedName name="_xlnm.Print_Area" localSheetId="4">OTPSTRAP!$A$1:$F$52</definedName>
    <definedName name="_xlnm.Print_Area" localSheetId="5">OTPSTRAP_EXT!$A$1:$F$93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4" i="25" l="1"/>
  <c r="C8" i="30"/>
  <c r="D7" i="30"/>
  <c r="E7" i="30" s="1"/>
  <c r="D6" i="30"/>
  <c r="E6" i="30" s="1"/>
  <c r="D5" i="30"/>
  <c r="D4" i="30"/>
  <c r="E4" i="30" s="1"/>
  <c r="D3" i="30"/>
  <c r="E3" i="30" s="1"/>
  <c r="D2" i="30"/>
  <c r="E2" i="30" s="1"/>
  <c r="D8" i="30" l="1"/>
  <c r="A3" i="30"/>
  <c r="A4" i="30" s="1"/>
  <c r="A5" i="30" s="1"/>
  <c r="E5" i="30"/>
  <c r="E8" i="30" s="1"/>
  <c r="C9" i="30" s="1"/>
  <c r="D9" i="30" s="1"/>
  <c r="E9" i="30" s="1"/>
  <c r="A6" i="30" l="1"/>
  <c r="A7" i="30" s="1"/>
  <c r="A8" i="30" s="1"/>
  <c r="C3" i="27" l="1"/>
  <c r="D2" i="27"/>
  <c r="D3" i="27" s="1"/>
  <c r="E2" i="27" l="1"/>
  <c r="E3" i="27" l="1"/>
  <c r="C4" i="27" s="1"/>
  <c r="D4" i="27" s="1"/>
  <c r="E4" i="27" s="1"/>
  <c r="A4" i="27" s="1"/>
  <c r="A3" i="27"/>
  <c r="C3" i="26" l="1"/>
  <c r="D2" i="26"/>
  <c r="D3" i="26" s="1"/>
  <c r="D9" i="22"/>
  <c r="E9" i="22" s="1"/>
  <c r="D10" i="22"/>
  <c r="E10" i="22" s="1"/>
  <c r="D5" i="15"/>
  <c r="E5" i="15" s="1"/>
  <c r="E49" i="25"/>
  <c r="F49" i="25" s="1"/>
  <c r="C49" i="25"/>
  <c r="E44" i="25"/>
  <c r="F44" i="25" s="1"/>
  <c r="E43" i="25"/>
  <c r="F43" i="25" s="1"/>
  <c r="E42" i="25"/>
  <c r="F42" i="25" s="1"/>
  <c r="E41" i="25"/>
  <c r="F41" i="25" s="1"/>
  <c r="E40" i="25"/>
  <c r="F40" i="25" s="1"/>
  <c r="E39" i="25"/>
  <c r="F39" i="25" s="1"/>
  <c r="E38" i="25"/>
  <c r="F38" i="25" s="1"/>
  <c r="E37" i="25"/>
  <c r="F37" i="25" s="1"/>
  <c r="E36" i="25"/>
  <c r="F36" i="25" s="1"/>
  <c r="E35" i="25"/>
  <c r="F35" i="25" s="1"/>
  <c r="E34" i="25"/>
  <c r="F34" i="25" s="1"/>
  <c r="E33" i="25"/>
  <c r="F33" i="25" s="1"/>
  <c r="E32" i="25"/>
  <c r="F32" i="25" s="1"/>
  <c r="E31" i="25"/>
  <c r="F31" i="25" s="1"/>
  <c r="E30" i="25"/>
  <c r="F30" i="25" s="1"/>
  <c r="E29" i="25"/>
  <c r="F29" i="25" s="1"/>
  <c r="E28" i="25"/>
  <c r="F28" i="25" s="1"/>
  <c r="E27" i="25"/>
  <c r="F27" i="25" s="1"/>
  <c r="E26" i="25"/>
  <c r="F26" i="25" s="1"/>
  <c r="E25" i="25"/>
  <c r="F25" i="25" s="1"/>
  <c r="E24" i="25"/>
  <c r="F24" i="25" s="1"/>
  <c r="C24" i="25"/>
  <c r="D23" i="25"/>
  <c r="E22" i="25"/>
  <c r="F22" i="25" s="1"/>
  <c r="E21" i="25"/>
  <c r="F21" i="25" s="1"/>
  <c r="E20" i="25"/>
  <c r="F20" i="25" s="1"/>
  <c r="E19" i="25"/>
  <c r="F19" i="25" s="1"/>
  <c r="E18" i="25"/>
  <c r="F18" i="25" s="1"/>
  <c r="E17" i="25"/>
  <c r="F17" i="25" s="1"/>
  <c r="E16" i="25"/>
  <c r="F16" i="25" s="1"/>
  <c r="E15" i="25"/>
  <c r="F15" i="25" s="1"/>
  <c r="E14" i="25"/>
  <c r="F14" i="25" s="1"/>
  <c r="E13" i="25"/>
  <c r="F13" i="25" s="1"/>
  <c r="E12" i="25"/>
  <c r="F12" i="25" s="1"/>
  <c r="E11" i="25"/>
  <c r="F11" i="25" s="1"/>
  <c r="E10" i="25"/>
  <c r="F10" i="25" s="1"/>
  <c r="E9" i="25"/>
  <c r="F9" i="25" s="1"/>
  <c r="E8" i="25"/>
  <c r="F8" i="25" s="1"/>
  <c r="E7" i="25"/>
  <c r="F7" i="25" s="1"/>
  <c r="E6" i="25"/>
  <c r="F6" i="25" s="1"/>
  <c r="E5" i="25"/>
  <c r="F5" i="25" s="1"/>
  <c r="E4" i="25"/>
  <c r="F4" i="25" s="1"/>
  <c r="E3" i="25"/>
  <c r="F3" i="25" s="1"/>
  <c r="E2" i="25"/>
  <c r="C2" i="25"/>
  <c r="D9" i="15"/>
  <c r="E9" i="15" s="1"/>
  <c r="D8" i="15"/>
  <c r="E8" i="15" s="1"/>
  <c r="D7" i="15"/>
  <c r="E7" i="15" s="1"/>
  <c r="D6" i="15"/>
  <c r="E6" i="15" s="1"/>
  <c r="D4" i="15"/>
  <c r="E4" i="15" s="1"/>
  <c r="D3" i="15"/>
  <c r="E3" i="15" s="1"/>
  <c r="D2" i="15"/>
  <c r="E2" i="15" s="1"/>
  <c r="D8" i="22"/>
  <c r="E8" i="22" s="1"/>
  <c r="D7" i="22"/>
  <c r="E7" i="22" s="1"/>
  <c r="D6" i="22"/>
  <c r="E6" i="22" s="1"/>
  <c r="D5" i="22"/>
  <c r="E5" i="22" s="1"/>
  <c r="D4" i="22"/>
  <c r="E4" i="22" s="1"/>
  <c r="C12" i="22"/>
  <c r="D11" i="22"/>
  <c r="E11" i="22" s="1"/>
  <c r="D3" i="22"/>
  <c r="E3" i="22" s="1"/>
  <c r="D2" i="22"/>
  <c r="E2" i="22" s="1"/>
  <c r="F6" i="6"/>
  <c r="D6" i="6" s="1"/>
  <c r="F7" i="6"/>
  <c r="E2" i="26" l="1"/>
  <c r="E23" i="25"/>
  <c r="F2" i="25"/>
  <c r="F45" i="25"/>
  <c r="B25" i="25"/>
  <c r="A3" i="22"/>
  <c r="A4" i="22" s="1"/>
  <c r="A5" i="22" s="1"/>
  <c r="A6" i="22" s="1"/>
  <c r="A7" i="22" s="1"/>
  <c r="A8" i="22" s="1"/>
  <c r="A9" i="22" s="1"/>
  <c r="A10" i="22" s="1"/>
  <c r="A11" i="22" s="1"/>
  <c r="E12" i="22"/>
  <c r="C13" i="22" s="1"/>
  <c r="D13" i="22" s="1"/>
  <c r="E13" i="22" s="1"/>
  <c r="A13" i="22" s="1"/>
  <c r="D12" i="22"/>
  <c r="C11" i="15"/>
  <c r="D10" i="15"/>
  <c r="E14" i="6"/>
  <c r="D7" i="6"/>
  <c r="F8" i="6"/>
  <c r="D8" i="6" s="1"/>
  <c r="F9" i="6"/>
  <c r="D9" i="6" s="1"/>
  <c r="F10" i="6"/>
  <c r="D10" i="6" s="1"/>
  <c r="F11" i="6"/>
  <c r="D11" i="6" s="1"/>
  <c r="F12" i="6"/>
  <c r="D12" i="6" s="1"/>
  <c r="F13" i="6"/>
  <c r="D13" i="6" s="1"/>
  <c r="F5" i="6"/>
  <c r="D5" i="6" s="1"/>
  <c r="B6" i="6" s="1"/>
  <c r="B7" i="6" l="1"/>
  <c r="C6" i="6" s="1"/>
  <c r="C5" i="6"/>
  <c r="E3" i="26"/>
  <c r="C4" i="26" s="1"/>
  <c r="D4" i="26" s="1"/>
  <c r="E4" i="26" s="1"/>
  <c r="A4" i="26" s="1"/>
  <c r="A3" i="26"/>
  <c r="A12" i="22"/>
  <c r="B26" i="25"/>
  <c r="C25" i="25"/>
  <c r="F23" i="25"/>
  <c r="F46" i="25" s="1"/>
  <c r="B3" i="25"/>
  <c r="D11" i="15"/>
  <c r="E10" i="15"/>
  <c r="E11" i="15" s="1"/>
  <c r="C12" i="15" s="1"/>
  <c r="D12" i="15" s="1"/>
  <c r="E12" i="15" s="1"/>
  <c r="A12" i="15" s="1"/>
  <c r="A3" i="15"/>
  <c r="A4" i="15" s="1"/>
  <c r="A5" i="15" s="1"/>
  <c r="A6" i="15" s="1"/>
  <c r="A7" i="15" s="1"/>
  <c r="A8" i="15" s="1"/>
  <c r="A9" i="15" s="1"/>
  <c r="A10" i="15" s="1"/>
  <c r="F14" i="6"/>
  <c r="D14" i="6"/>
  <c r="B8" i="6" l="1"/>
  <c r="C7" i="6" s="1"/>
  <c r="B4" i="25"/>
  <c r="C3" i="25"/>
  <c r="D46" i="25"/>
  <c r="B46" i="25"/>
  <c r="B27" i="25"/>
  <c r="C26" i="25"/>
  <c r="B9" i="6" l="1"/>
  <c r="C8" i="6" s="1"/>
  <c r="B28" i="25"/>
  <c r="C27" i="25"/>
  <c r="B5" i="25"/>
  <c r="C4" i="25"/>
  <c r="B10" i="6" l="1"/>
  <c r="C9" i="6" s="1"/>
  <c r="A11" i="15"/>
  <c r="B6" i="25"/>
  <c r="C5" i="25"/>
  <c r="B29" i="25"/>
  <c r="C28" i="25"/>
  <c r="B11" i="6" l="1"/>
  <c r="B12" i="6" s="1"/>
  <c r="B30" i="25"/>
  <c r="C29" i="25"/>
  <c r="B7" i="25"/>
  <c r="C6" i="25"/>
  <c r="C10" i="6" l="1"/>
  <c r="B8" i="25"/>
  <c r="C7" i="25"/>
  <c r="B31" i="25"/>
  <c r="C30" i="25"/>
  <c r="B13" i="6"/>
  <c r="C11" i="6"/>
  <c r="B32" i="25" l="1"/>
  <c r="C31" i="25"/>
  <c r="B9" i="25"/>
  <c r="C8" i="25"/>
  <c r="C12" i="6"/>
  <c r="B14" i="6"/>
  <c r="C13" i="6" s="1"/>
  <c r="B10" i="25" l="1"/>
  <c r="C9" i="25"/>
  <c r="B33" i="25"/>
  <c r="C32" i="25"/>
  <c r="B34" i="25" l="1"/>
  <c r="C33" i="25"/>
  <c r="B11" i="25"/>
  <c r="C10" i="25"/>
  <c r="B12" i="25" l="1"/>
  <c r="C11" i="25"/>
  <c r="B35" i="25"/>
  <c r="C34" i="25"/>
  <c r="B36" i="25" l="1"/>
  <c r="C35" i="25"/>
  <c r="B13" i="25"/>
  <c r="C12" i="25"/>
  <c r="B14" i="25" l="1"/>
  <c r="C13" i="25"/>
  <c r="B37" i="25"/>
  <c r="C36" i="25"/>
  <c r="B38" i="25" l="1"/>
  <c r="C37" i="25"/>
  <c r="B15" i="25"/>
  <c r="C14" i="25"/>
  <c r="B16" i="25" l="1"/>
  <c r="C15" i="25"/>
  <c r="B39" i="25"/>
  <c r="C38" i="25"/>
  <c r="B40" i="25" l="1"/>
  <c r="C39" i="25"/>
  <c r="B17" i="25"/>
  <c r="C16" i="25"/>
  <c r="B18" i="25" l="1"/>
  <c r="C17" i="25"/>
  <c r="B41" i="25"/>
  <c r="C40" i="25"/>
  <c r="B42" i="25" l="1"/>
  <c r="C41" i="25"/>
  <c r="B19" i="25"/>
  <c r="C18" i="25"/>
  <c r="B20" i="25" l="1"/>
  <c r="C19" i="25"/>
  <c r="B43" i="25"/>
  <c r="C42" i="25"/>
  <c r="C43" i="25" l="1"/>
  <c r="B21" i="25"/>
  <c r="C20" i="25"/>
  <c r="B22" i="25" l="1"/>
  <c r="B23" i="25" s="1"/>
  <c r="C21" i="25"/>
  <c r="C22" i="25" l="1"/>
  <c r="C44" i="25" l="1"/>
  <c r="B45" i="25"/>
  <c r="C45" i="25" s="1"/>
  <c r="C23" i="25" l="1"/>
</calcChain>
</file>

<file path=xl/sharedStrings.xml><?xml version="1.0" encoding="utf-8"?>
<sst xmlns="http://schemas.openxmlformats.org/spreadsheetml/2006/main" count="1143" uniqueCount="904">
  <si>
    <t>High Level overview of OTP memory layout</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</si>
  <si>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</si>
  <si>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</si>
  <si>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</si>
  <si>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</si>
  <si>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</si>
  <si>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</si>
  <si>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</si>
  <si>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</si>
  <si>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</si>
  <si>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</si>
  <si>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OTPSTRAPEXT</t>
  </si>
  <si>
    <t>PUF</t>
    <phoneticPr fontId="1" type="noConversion"/>
  </si>
  <si>
    <t>end</t>
    <phoneticPr fontId="1" type="noConversion"/>
  </si>
  <si>
    <t>Reserved</t>
    <phoneticPr fontId="1" type="noConversion"/>
  </si>
  <si>
    <t>41F</t>
  </si>
  <si>
    <t>otp_strap_wr_protect_lsb</t>
  </si>
  <si>
    <t>otp_strap_wr_protect_msb</t>
  </si>
  <si>
    <t>otpstrap opt0_lsb</t>
  </si>
  <si>
    <t>otpstrap opt0_msb</t>
  </si>
  <si>
    <t>otpstrap opt1_lsb</t>
  </si>
  <si>
    <t>otpstrap opt1_msb</t>
  </si>
  <si>
    <t>otpstrap opt2_lsb</t>
  </si>
  <si>
    <t>otpstrap opt2_msb</t>
  </si>
  <si>
    <t>otpstrap opt3_lsb</t>
  </si>
  <si>
    <t>otpstrap opt3_msb</t>
  </si>
  <si>
    <t>42A</t>
  </si>
  <si>
    <t>otpstrap opt4_lsb</t>
  </si>
  <si>
    <t>42B</t>
  </si>
  <si>
    <t>otpstrap opt4_msb</t>
  </si>
  <si>
    <t>42C</t>
  </si>
  <si>
    <t>otpstrap opt5_lsb</t>
  </si>
  <si>
    <t>42D</t>
  </si>
  <si>
    <t>otpstrap opt5_msb</t>
  </si>
  <si>
    <t>42E</t>
  </si>
  <si>
    <t>42F</t>
  </si>
  <si>
    <t>reserved</t>
  </si>
  <si>
    <t>reserved</t>
    <phoneticPr fontId="1" type="noConversion"/>
  </si>
  <si>
    <t>Caliptra</t>
    <phoneticPr fontId="1" type="noConversion"/>
  </si>
  <si>
    <t>1C00</t>
    <phoneticPr fontId="1" type="noConversion"/>
  </si>
  <si>
    <t>Start address
(word)</t>
    <phoneticPr fontId="1" type="noConversion"/>
  </si>
  <si>
    <t>Name</t>
  </si>
  <si>
    <t>Size
(bits)</t>
    <phoneticPr fontId="1" type="noConversion"/>
  </si>
  <si>
    <t>Size
(bytes)</t>
    <phoneticPr fontId="1" type="noConversion"/>
  </si>
  <si>
    <t>Size
(word dec)</t>
    <phoneticPr fontId="1" type="noConversion"/>
  </si>
  <si>
    <t>Description</t>
    <phoneticPr fontId="1" type="noConversion"/>
  </si>
  <si>
    <t>Details</t>
    <phoneticPr fontId="1" type="noConversion"/>
  </si>
  <si>
    <t>HW effect</t>
    <phoneticPr fontId="1" type="noConversion"/>
  </si>
  <si>
    <t>3E0</t>
    <phoneticPr fontId="1" type="noConversion"/>
  </si>
  <si>
    <t>Secure Boot - key retire</t>
    <phoneticPr fontId="1" type="noConversion"/>
  </si>
  <si>
    <t>Reserved</t>
  </si>
  <si>
    <t>Caliptra Owner pk key hash retire</t>
  </si>
  <si>
    <t>Caliptra Owner public key hash retire bits
effect only secure boot is enabled
Policy: OTPCFG0[8]</t>
    <phoneticPr fontId="1" type="noConversion"/>
  </si>
  <si>
    <t>Secure Boot - SVN</t>
    <phoneticPr fontId="1" type="noConversion"/>
  </si>
  <si>
    <t>Caliptra FMC Hardware SVN</t>
  </si>
  <si>
    <t>Caliptra Runtime Hardware SVN</t>
  </si>
  <si>
    <t>Caliptra Manufacture ECC key mask</t>
  </si>
  <si>
    <t>Secure Boot - key retire</t>
  </si>
  <si>
    <t>Caliptra Manufacture LMS key mask</t>
  </si>
  <si>
    <t>Sum</t>
  </si>
  <si>
    <t>Actual</t>
    <phoneticPr fontId="1" type="noConversion"/>
  </si>
  <si>
    <t>OTPCFG0/SCUIO880</t>
  </si>
  <si>
    <t>otp_mem_lock_enable</t>
    <phoneticPr fontId="12" type="noConversion"/>
  </si>
  <si>
    <t>OTP memory lock enable
This bit will lock whole OTP memory and is un recoverable</t>
    <phoneticPr fontId="12" type="noConversion"/>
  </si>
  <si>
    <t>wr_protect_puf</t>
    <phoneticPr fontId="1" type="noConversion"/>
  </si>
  <si>
    <t>Enable PUF program done
This is for SLT use for indicating the OTP PUF is programmed done</t>
    <phoneticPr fontId="1" type="noConversion"/>
  </si>
  <si>
    <t>dis_otp_bist</t>
    <phoneticPr fontId="12" type="noConversion"/>
  </si>
  <si>
    <t>Now this only CP/FT pattern will trigger bist
set 1 : mask test pin</t>
    <phoneticPr fontId="12" type="noConversion"/>
  </si>
  <si>
    <t>wr_protect_caliptra</t>
  </si>
  <si>
    <t>Enable write protect of caliptra region</t>
    <phoneticPr fontId="1" type="noConversion"/>
  </si>
  <si>
    <t>rd_protect_caliptra</t>
  </si>
  <si>
    <t>Enable read protect of caliptra region</t>
    <phoneticPr fontId="1" type="noConversion"/>
  </si>
  <si>
    <t>wr_protect_otp_rbp</t>
    <phoneticPr fontId="1" type="noConversion"/>
  </si>
  <si>
    <t>Enable Write Protect of rbp region</t>
    <phoneticPr fontId="1" type="noConversion"/>
  </si>
  <si>
    <t>enable_secure_boot</t>
    <phoneticPr fontId="12" type="noConversion"/>
  </si>
  <si>
    <t>retire_mechanism_option</t>
    <phoneticPr fontId="1" type="noConversion"/>
  </si>
  <si>
    <t>key retirement mechanism option enable
0: can only retire itself key #id
1: can retire others key #id except itself</t>
    <phoneticPr fontId="1" type="noConversion"/>
  </si>
  <si>
    <t>wr_protect_otp_strap</t>
    <phoneticPr fontId="12" type="noConversion"/>
  </si>
  <si>
    <t>Enable Write Protectof OTP strap region</t>
    <phoneticPr fontId="1" type="noConversion"/>
  </si>
  <si>
    <t>wr_protect_otp_cfg</t>
    <phoneticPr fontId="12" type="noConversion"/>
  </si>
  <si>
    <t>Enable Write Protect of Configure region</t>
    <phoneticPr fontId="1" type="noConversion"/>
  </si>
  <si>
    <t>wr_protect_rom</t>
    <phoneticPr fontId="12" type="noConversion"/>
  </si>
  <si>
    <t>Enable write protect of rom region</t>
    <phoneticPr fontId="1" type="noConversion"/>
  </si>
  <si>
    <t>wr_protect_otp_strap_ext</t>
  </si>
  <si>
    <t>Enable Write Protect of strap ext region</t>
    <phoneticPr fontId="12" type="noConversion"/>
  </si>
  <si>
    <t>rd_protect_otp_strap</t>
    <phoneticPr fontId="12" type="noConversion"/>
  </si>
  <si>
    <t>Enable read protect of strap region</t>
    <phoneticPr fontId="1" type="noConversion"/>
  </si>
  <si>
    <t>rd_protect_otp_cfg</t>
    <phoneticPr fontId="12" type="noConversion"/>
  </si>
  <si>
    <t>Enable read protect of configure region</t>
    <phoneticPr fontId="1" type="noConversion"/>
  </si>
  <si>
    <t>rd_protect_rom</t>
    <phoneticPr fontId="12" type="noConversion"/>
  </si>
  <si>
    <t>Enable read protect of rom region</t>
    <phoneticPr fontId="1" type="noConversion"/>
  </si>
  <si>
    <t>rd_protect_otp_strap_ext</t>
  </si>
  <si>
    <t>Enable read protect of strap ext region</t>
    <phoneticPr fontId="12" type="noConversion"/>
  </si>
  <si>
    <t>401</t>
    <phoneticPr fontId="12" type="noConversion"/>
  </si>
  <si>
    <t>OTPCFG1/SCUIO880
(OTPCFG0 BK)</t>
  </si>
  <si>
    <t>CONCFG0_BK</t>
    <phoneticPr fontId="12" type="noConversion"/>
  </si>
  <si>
    <t>otp read cfg0 = otpcfg0 | otpcfg0 bk</t>
    <phoneticPr fontId="12" type="noConversion"/>
  </si>
  <si>
    <t>402</t>
  </si>
  <si>
    <t>OTPCFG2/SCUIO884</t>
    <phoneticPr fontId="1" type="noConversion"/>
  </si>
  <si>
    <t>ignore_secure_boot_hw_strap</t>
    <phoneticPr fontId="12" type="noConversion"/>
  </si>
  <si>
    <t>Ignore Secure Boot hardware strap enable
0:Hardware FWSPIMOSI strap pin can enable secure boot.
1:Hardware FWSPIMOSI strap pin cannot enable secure boot.</t>
    <phoneticPr fontId="12" type="noConversion"/>
  </si>
  <si>
    <t>dis_low_secure_key0</t>
  </si>
  <si>
    <t>Disable low security key #0
0:OEM DSS key #0 can be enable by hardware strap pin
FWSPIMISO
1: OEM DSS key #0 is disabled.</t>
    <phoneticPr fontId="12" type="noConversion"/>
  </si>
  <si>
    <t>Enable SoC FMC verification with ECDSA and LMS
0: SoC FMC verification with ECDSA only
1: SoC FMC verification with ECDSA and LMS</t>
    <phoneticPr fontId="1" type="noConversion"/>
  </si>
  <si>
    <t>dev_life_cycle_state</t>
    <phoneticPr fontId="1" type="noConversion"/>
  </si>
  <si>
    <t>SCUIO130[10:8]: debug state + device life cycle state</t>
    <phoneticPr fontId="1" type="noConversion"/>
  </si>
  <si>
    <t>Boot From UART Port Selection</t>
  </si>
  <si>
    <t>Boot From UART Port Selection
0: IO12 (BMC default port)
1: IO0 (Node 0 SUART common port)
2: IO5 (Node 1 SUART common port)</t>
  </si>
  <si>
    <t>en_emmc_sw_reset</t>
  </si>
  <si>
    <t>Enable eMMC software reset
0: eMMC software reset disable, use HW pin strap to do hardware reset
1: eMMC software reset enable. Always do software reset</t>
  </si>
  <si>
    <t>dis_boot_msg</t>
  </si>
  <si>
    <t>Disable Uart Message of Boot ROM
0:Boot ROM will dump boot messages
1:Boot ROM message is disabled</t>
  </si>
  <si>
    <t>dis_recovery_mode</t>
  </si>
  <si>
    <t>Disable Boot from Uart/USB
0: When hardware strap pin FWSPICK is pulled high, The bootMCU will fetch image codes from UART12 and boot. 
When hardware strap pin FWSPICK is pulled low, the bootMCU
will not boot from UART.
1: The secure boot MCU will not boot from UART in spite of
hardware strap pin.</t>
  </si>
  <si>
    <t>dis_post_rom_patch</t>
  </si>
  <si>
    <t>Disable Post ROM Patch code
0: If the OTPCFG6[0] is not 0, the BootMCU will
execute the OTP patch codes which has been programmed into
OTP rom region.
1: The BootMCU will not execute the OTP patch codes in
ROM region.</t>
  </si>
  <si>
    <t>dis_pre_rom_patch</t>
  </si>
  <si>
    <t>Disable Pre ROM Patch code
0: If the OTPCFG4[0] is not 0, the BootMCU will
execute the OTP patch codes which has been programmed into
OTP rom region.
1: The BootMCU will not execute the OTP patch codes in
ROM region.</t>
  </si>
  <si>
    <t>403</t>
    <phoneticPr fontId="12" type="noConversion"/>
  </si>
  <si>
    <t>OTPCFG3/SCUIO884
(OTPCFG2 BK)</t>
  </si>
  <si>
    <t>CONCFG2_BK</t>
  </si>
  <si>
    <t>otp read cfg1 = otpcfg1 | otpcfg1 bk</t>
    <phoneticPr fontId="12" type="noConversion"/>
  </si>
  <si>
    <t>OTPCFG4/SCUIO888</t>
  </si>
  <si>
    <t>The Pre OTP patch code location in OTP ROM Region</t>
  </si>
  <si>
    <t>pre_otp_patch_vld</t>
  </si>
  <si>
    <t>Enable pre otp patch
set 1 means pre otp rom patch is valid</t>
    <phoneticPr fontId="1" type="noConversion"/>
  </si>
  <si>
    <t>405</t>
  </si>
  <si>
    <t>OTPCFG5/SCUIO888</t>
  </si>
  <si>
    <t>Pre OTP Patch Size</t>
  </si>
  <si>
    <t>Pre OTP Patch code size (unit: word)
The Boot MCU can execute OTP patch codes in OTP ROM region. The OTP patch code size is limited to 16Kbit.</t>
  </si>
  <si>
    <t>OTPCFG6/SCUIO88C</t>
  </si>
  <si>
    <t>The Post OTP patch code location in OTP ROM Region</t>
  </si>
  <si>
    <t>post_otp_patch_vld</t>
  </si>
  <si>
    <t>Enable post otp patch
set 1 means post otp rom patch is valid</t>
    <phoneticPr fontId="1" type="noConversion"/>
  </si>
  <si>
    <t>407</t>
  </si>
  <si>
    <t>OTPCFG7/SCUIO88C</t>
  </si>
  <si>
    <t>Post OTP Patch Size</t>
  </si>
  <si>
    <t>Post OTP Patch code size
The Boot MCU can execute OTP patch codes in OTP ROM region. The OTP patch code size is limited to 16Kbit.</t>
  </si>
  <si>
    <t>408</t>
    <phoneticPr fontId="12" type="noConversion"/>
  </si>
  <si>
    <t>OTPCFG8/SCUIO890</t>
  </si>
  <si>
    <t>SoC ECC key retire bits</t>
    <phoneticPr fontId="1" type="noConversion"/>
  </si>
  <si>
    <t>409</t>
  </si>
  <si>
    <t>OTPCFG9/SCUIO890</t>
  </si>
  <si>
    <t>en_auto_load</t>
  </si>
  <si>
    <t>Enable auto load debug control SCU0C8 setting
0:disable
1:enable to auto load registers CPU_SCU0C8 and IO_SCU0C8.</t>
  </si>
  <si>
    <t>CPU_SCU0C8_auto_val</t>
  </si>
  <si>
    <t>CPU_SCU0C8[14 :0] auto setting value
After CPU_SCU0C8 is loaded, the write protection CPU_SCU1E04[18] will be set to 1.</t>
    <phoneticPr fontId="1" type="noConversion"/>
  </si>
  <si>
    <t>40A</t>
  </si>
  <si>
    <t>OTPCFG10/SCUIO894</t>
  </si>
  <si>
    <t>IO_SCU0C8_auto_val</t>
  </si>
  <si>
    <t>IO_SCU0C8[7 :0] auto setting value
After IO_SCU0C8 is loaded, the write protection IO_SCUB04[18] will be set to 1.</t>
    <phoneticPr fontId="1" type="noConversion"/>
  </si>
  <si>
    <t>40B</t>
  </si>
  <si>
    <t>OTPCFG11/SCUIO894</t>
  </si>
  <si>
    <t>en_auto_load_usr0</t>
  </si>
  <si>
    <t>Enable auto load OTP region user 0 ctrl setting</t>
  </si>
  <si>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</si>
  <si>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</si>
  <si>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</si>
  <si>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</si>
  <si>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</si>
  <si>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t>
    <phoneticPr fontId="1" type="noConversion"/>
  </si>
  <si>
    <t>40C</t>
  </si>
  <si>
    <t>OTPCFG12/SCUIO898</t>
  </si>
  <si>
    <t>usr0_region_size</t>
  </si>
  <si>
    <t>User 0 region size</t>
  </si>
  <si>
    <t>40D</t>
  </si>
  <si>
    <t>OTPCFG13/SCUIO898</t>
  </si>
  <si>
    <t>en_auto_load_secure0</t>
  </si>
  <si>
    <t>Enable auto load OTP region secure 0 ctrl setting</t>
  </si>
  <si>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</si>
  <si>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</si>
  <si>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</si>
  <si>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</si>
  <si>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</si>
  <si>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t>
  </si>
  <si>
    <t>40E</t>
  </si>
  <si>
    <t>OTPCFG14/SCUIO89C</t>
  </si>
  <si>
    <t>secure0_region_size</t>
  </si>
  <si>
    <t>Secure 0 region size</t>
  </si>
  <si>
    <t>40F</t>
  </si>
  <si>
    <t>OTPCFG15/SCUIO89C</t>
  </si>
  <si>
    <t>recovery_mode_cfg_a</t>
  </si>
  <si>
    <t>410</t>
  </si>
  <si>
    <t>OTPCFG16/SCUIO8A0</t>
  </si>
  <si>
    <t>recovery_mode_cfg_b</t>
  </si>
  <si>
    <t>411</t>
  </si>
  <si>
    <t>OTPCFG17/SCUIO8A0</t>
  </si>
  <si>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</si>
  <si>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</si>
  <si>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</si>
  <si>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Enable to turn off UART5 Tx Discard</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</si>
  <si>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</si>
  <si>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</si>
  <si>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</si>
  <si>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Enable to turn off UART3 Tx Discard</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</si>
  <si>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</si>
  <si>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</si>
  <si>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</si>
  <si>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Enable to turn off UART2 Tx Discard</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</si>
  <si>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</si>
  <si>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</si>
  <si>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</si>
  <si>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Enable to turn off UART1 Tx Discard</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</si>
  <si>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</si>
  <si>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</si>
  <si>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</si>
  <si>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Enable to turn off UART0 Tx Discard</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</si>
  <si>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</si>
  <si>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</si>
  <si>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412</t>
  </si>
  <si>
    <t>OTPCFG18/SCUIO8A4</t>
  </si>
  <si>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</si>
  <si>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</si>
  <si>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</si>
  <si>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Enable to turn off UART10 Tx Discard</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</si>
  <si>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</si>
  <si>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</si>
  <si>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</si>
  <si>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Enable to turn off UART9 Tx Discard</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</si>
  <si>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</si>
  <si>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</si>
  <si>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</si>
  <si>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Enable to turn off UART8 Tx Discard</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</si>
  <si>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</si>
  <si>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</si>
  <si>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</si>
  <si>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Enable to turn off UART7 Tx Discard</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</si>
  <si>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</si>
  <si>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</si>
  <si>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</si>
  <si>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Enable to turn off UART6 Tx Discard</t>
    <phoneticPr fontId="1" type="noConversion"/>
  </si>
  <si>
    <t>usb_uart6_mode_msb</t>
    <phoneticPr fontId="1" type="noConversion"/>
  </si>
  <si>
    <t>UART6 Mode - msb (bit1)</t>
    <phoneticPr fontId="1" type="noConversion"/>
  </si>
  <si>
    <t>413</t>
  </si>
  <si>
    <t>OTPCFG19/SCUIO8A4</t>
    <phoneticPr fontId="1" type="noConversion"/>
  </si>
  <si>
    <t>uart_io_route</t>
  </si>
  <si>
    <t>uart11/13/14 routing (hw effect by scu)</t>
  </si>
  <si>
    <t>usb_uart_put_all_boot_message</t>
    <phoneticPr fontId="1" type="noConversion"/>
  </si>
  <si>
    <t>Enable UART to put all boot message and wait the completetion</t>
    <phoneticPr fontId="1" type="noConversion"/>
  </si>
  <si>
    <t>usb_uart_mode3</t>
    <phoneticPr fontId="1" type="noConversion"/>
  </si>
  <si>
    <t>Enable Mode-3 (USB2UART only, no vHub)</t>
    <phoneticPr fontId="1" type="noConversion"/>
  </si>
  <si>
    <t>usb_uart_hub_23ports</t>
    <phoneticPr fontId="1" type="noConversion"/>
  </si>
  <si>
    <t>Enable Mode-0 hub to support 23 ports</t>
    <phoneticPr fontId="1" type="noConversion"/>
  </si>
  <si>
    <t>usb_uart15_tx_discard_off</t>
    <phoneticPr fontId="1" type="noConversion"/>
  </si>
  <si>
    <t>Enable to turn off UART15 Tx Discard</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</si>
  <si>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</si>
  <si>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</si>
  <si>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</si>
  <si>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Enable to turn off UART12 Tx Discard</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</si>
  <si>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</si>
  <si>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</si>
  <si>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</si>
  <si>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Enable to turn off UART11 Tx Discard</t>
    <phoneticPr fontId="1" type="noConversion"/>
  </si>
  <si>
    <t>414</t>
  </si>
  <si>
    <t>OTPCFG20/SCUIO8A8</t>
  </si>
  <si>
    <t>en_auto_load_cptra0</t>
  </si>
  <si>
    <t>Enable auto load OTP region cptra 0 ctrl setting</t>
  </si>
  <si>
    <t>the cptra range 1/2/3 should be set also by FW</t>
  </si>
  <si>
    <t>rd_protect_otp_cptra0</t>
  </si>
  <si>
    <t>Enable Read protect for OTP region cptra 0</t>
  </si>
  <si>
    <t>wr_protect_otp_cptra0</t>
  </si>
  <si>
    <t>Enable Write protect for OTP region cptra 0</t>
  </si>
  <si>
    <t>cptra0_region_start_offset</t>
  </si>
  <si>
    <t>cptra 0 region start offset</t>
  </si>
  <si>
    <t>415</t>
  </si>
  <si>
    <t>OTPCFG21/SCUIO8A8</t>
  </si>
  <si>
    <t>cptra0_region_size</t>
  </si>
  <si>
    <t>cptra 0 region size</t>
  </si>
  <si>
    <t>416</t>
  </si>
  <si>
    <t>OTPCFG22/SCUIO8AC</t>
  </si>
  <si>
    <t>SVN</t>
    <phoneticPr fontId="1" type="noConversion"/>
  </si>
  <si>
    <t>417</t>
  </si>
  <si>
    <t>OTPCFG23/SCUIO8AC</t>
  </si>
  <si>
    <t>LTPI1 check RX LINK_SPEED enable</t>
  </si>
  <si>
    <t>0=Don't check LINK_SPEED before AD (follow the LTPI spec.)
1=Assert RX 1 LINK_SPEED framee before AD (AST2700A0)</t>
  </si>
  <si>
    <t>LTPI0 check RX LINK_SPEED enable</t>
  </si>
  <si>
    <t>LTPI1 PHY clock inverse</t>
  </si>
  <si>
    <t>bit[1] - RX clock inverse
bit[0] - TX clock inverse</t>
    <phoneticPr fontId="1" type="noConversion"/>
  </si>
  <si>
    <t>LTPI0 PHY clock inverse</t>
    <phoneticPr fontId="1" type="noConversion"/>
  </si>
  <si>
    <t>LTPI1 driving strength</t>
    <phoneticPr fontId="1" type="noConversion"/>
  </si>
  <si>
    <t>4 levels</t>
  </si>
  <si>
    <t>LTPI Runtime firmware enable</t>
    <phoneticPr fontId="1" type="noConversion"/>
  </si>
  <si>
    <t>Set 1 to enable AST1700 runtime firmware
(The firmware is downloaded through the LTPI OEM)</t>
    <phoneticPr fontId="1" type="noConversion"/>
  </si>
  <si>
    <t>LTPI CRC format</t>
  </si>
  <si>
    <t>LTPI0 &amp; LTPI1 CRC format
0=CRC format 0
1=CRC format 1</t>
  </si>
  <si>
    <t>418</t>
  </si>
  <si>
    <t>OTPCFG24/SCUIO8B0</t>
  </si>
  <si>
    <t>IO SLI TX clock select</t>
  </si>
  <si>
    <t>IOD TX (US) clock speed
4b'0000=25M
4b'0001=1G
4b'001x=800M
4b'01xx=500M
4b'1xxx=400M</t>
    <phoneticPr fontId="1" type="noConversion"/>
  </si>
  <si>
    <t>IO SLI TX clock inverse</t>
  </si>
  <si>
    <t>IOD SLIH TXCLK delay[5]</t>
  </si>
  <si>
    <t>IO SLI TX clock delay</t>
  </si>
  <si>
    <t>IOD SLIH TXCLK delay[4:0]</t>
  </si>
  <si>
    <t>IO SLI RX clock inverse</t>
  </si>
  <si>
    <t>IOD SLIH RXCLK delay[5]</t>
  </si>
  <si>
    <t>IO SLI RX clock delay</t>
  </si>
  <si>
    <t>IOD SLIH RXCLK delay[4:0]</t>
  </si>
  <si>
    <t>419</t>
  </si>
  <si>
    <t>OTPCFG25/SCUIO8B0</t>
  </si>
  <si>
    <t>CPU SLI TX clock select</t>
  </si>
  <si>
    <t>CPU TX (DS) clock speed
4b'0000=25M
4b'0001=1G
4b'001x=800M
4b'01xx=500M
4b'1xxx=400M</t>
  </si>
  <si>
    <t>SLI data latch control</t>
    <phoneticPr fontId="1" type="noConversion"/>
  </si>
  <si>
    <t>41A</t>
  </si>
  <si>
    <t>OTPCFG26/SCUIO8B4</t>
  </si>
  <si>
    <t>SLI-H pad delay</t>
  </si>
  <si>
    <t>bit[15:12] - CPU SLIH RXD1[3:0]
bit[11:  8] - CPU SLIH RXD0[3:0]
bit[  7:  4] - IOD SLIH RXD1[3:0]
bit[  3:  0] - IOD SLIH RXD0[3:0]</t>
  </si>
  <si>
    <t>41B</t>
  </si>
  <si>
    <t>OTPCFG27/SCUIO8B4</t>
  </si>
  <si>
    <t>SLI-M pad delay - CPU die</t>
  </si>
  <si>
    <t>bit[15:12] - CPU SLIM RXD3[3:0]
bit[11:  8] - CPU SLIM RXD2[3:0]
bit[ 7 :  4] - CPU SLIM RXD1[3:0]
bit[ 3 :  0] - CPU SLIM RXD0[3:0]</t>
  </si>
  <si>
    <t>41C</t>
  </si>
  <si>
    <t>OTPCFG28/SCUIO8B8</t>
  </si>
  <si>
    <t>SLI-M pad delay - IO die</t>
  </si>
  <si>
    <t>bit[15:12] - IOD SLIM RXD3[3:0]
bit[11:  8] - IOD SLIM RXD2[3:0]
bit[ 7 :  4] - IOD SLIM RXD1[3:0]
bit[ 3 :  0] - IOD SLIM RXD0[3:0]</t>
  </si>
  <si>
    <t>41D</t>
  </si>
  <si>
    <t>OTPCFG29/SCUIO8B8</t>
  </si>
  <si>
    <t>SLI-V pad delay</t>
  </si>
  <si>
    <t>bit[15:12] - CPU SLIV RXD1[3:0]
bit[11:  8] - CPU SLIV RXD0[3:0]
bit[  7:  4] - IOD SLIV RXD1[3:0]
bit[  3:  0] - IOD SLIV RXD0[3:0]</t>
  </si>
  <si>
    <t>41E</t>
  </si>
  <si>
    <t>OTPCFG30/SCUIO8BC</t>
  </si>
  <si>
    <t>LTPI0 DDR mode disable</t>
  </si>
  <si>
    <t>Set 1 to disable LTPI0 DDR mode</t>
    <phoneticPr fontId="1" type="noConversion"/>
  </si>
  <si>
    <t>LTPI0 speed capability disabling</t>
  </si>
  <si>
    <t>bit[14:13] - LTPI spec. reserved
bit[12] - 500M
bit[11] - 1G
bit[10] - 800M
bit[9] - 600M
bit[8] - 400M
bit[7] - 300M
bit[6] - 250M
bit[5] - 200M
bit[4] - 150M
bit[3] - 100M
bit[2] - 75M
bit[1] - 50M
bit[0] - 25M</t>
    <phoneticPr fontId="1" type="noConversion"/>
  </si>
  <si>
    <t>Set bits to disable the corresponding speed support</t>
  </si>
  <si>
    <t>OTPCFG31/SCUIO8BC</t>
  </si>
  <si>
    <t>LTPI1 DDR mode disable</t>
  </si>
  <si>
    <t>Set 1 to disable LTPI1 DDR mode</t>
  </si>
  <si>
    <t>LTPI1 speed capability disabling</t>
  </si>
  <si>
    <t>OTPSTRAP01</t>
  </si>
  <si>
    <t>OTPSTRAP02</t>
  </si>
  <si>
    <t>OTPSTRAP03</t>
  </si>
  <si>
    <t>OTPSTRAP04</t>
  </si>
  <si>
    <t>OTPSTRAP05</t>
  </si>
  <si>
    <t>OTPSTRAP06</t>
  </si>
  <si>
    <t>OTPSTRAP07</t>
  </si>
  <si>
    <t>OTPSTRAP08</t>
  </si>
  <si>
    <t>OTPSTRAP09</t>
  </si>
  <si>
    <t>OTPSTRAP10</t>
  </si>
  <si>
    <t>OTPSTRAP11</t>
  </si>
  <si>
    <t>OTPSTRAP12</t>
  </si>
  <si>
    <t>OTPSTRAP13</t>
  </si>
  <si>
    <t>OTPSTRAP14</t>
  </si>
  <si>
    <t>OTPSTRAP15</t>
  </si>
  <si>
    <t>430</t>
  </si>
  <si>
    <t>431</t>
  </si>
  <si>
    <t>otp trap extension src1</t>
  </si>
  <si>
    <t>432</t>
  </si>
  <si>
    <t>otp trap extension src2</t>
  </si>
  <si>
    <t>433</t>
  </si>
  <si>
    <t>otp trap extension src3</t>
  </si>
  <si>
    <t>434</t>
  </si>
  <si>
    <t>otp trap extension src4</t>
  </si>
  <si>
    <t>435</t>
  </si>
  <si>
    <t>otp trap extension src5</t>
  </si>
  <si>
    <t>436</t>
  </si>
  <si>
    <t>otp trap extension src6</t>
  </si>
  <si>
    <t>437</t>
  </si>
  <si>
    <t>otp trap extension src7</t>
  </si>
  <si>
    <t>438</t>
  </si>
  <si>
    <t>439</t>
  </si>
  <si>
    <t>otp trap extension src1 vld</t>
  </si>
  <si>
    <t>43a</t>
  </si>
  <si>
    <t>otp trap extension src2 vld</t>
  </si>
  <si>
    <t>43b</t>
  </si>
  <si>
    <t>otp trap extension src3 vld</t>
  </si>
  <si>
    <t>43c</t>
  </si>
  <si>
    <t>otp trap extension src4 vld</t>
  </si>
  <si>
    <t>43d</t>
  </si>
  <si>
    <t>otp trap extension src5 vld</t>
  </si>
  <si>
    <t>43e</t>
  </si>
  <si>
    <t>otp trap extension src6 vld</t>
  </si>
  <si>
    <t>43f</t>
  </si>
  <si>
    <t>otp trap extension src7 vld</t>
  </si>
  <si>
    <t>Start address
(bytes)</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</si>
  <si>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</si>
  <si>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</si>
  <si>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</si>
  <si>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</si>
  <si>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</si>
  <si>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</si>
  <si>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</si>
  <si>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</si>
  <si>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</si>
  <si>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</si>
  <si>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</si>
  <si>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</si>
  <si>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</si>
  <si>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</si>
  <si>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</si>
  <si>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</si>
  <si>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</si>
  <si>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vault key 0 header</t>
    <phoneticPr fontId="1" type="noConversion"/>
  </si>
  <si>
    <t>vault key 1 header</t>
  </si>
  <si>
    <t>vault key 2 header</t>
  </si>
  <si>
    <t>vault key 3 header</t>
  </si>
  <si>
    <t>key header summary</t>
    <phoneticPr fontId="1" type="noConversion"/>
  </si>
  <si>
    <t>Total 80 key header</t>
    <phoneticPr fontId="1" type="noConversion"/>
  </si>
  <si>
    <t>Key Body</t>
    <phoneticPr fontId="1" type="noConversion"/>
  </si>
  <si>
    <t>10A0</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</si>
  <si>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</si>
  <si>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</si>
  <si>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</si>
  <si>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</si>
  <si>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</si>
  <si>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</si>
  <si>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</si>
  <si>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</si>
  <si>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</si>
  <si>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</si>
  <si>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</si>
  <si>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</si>
  <si>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</si>
  <si>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</si>
  <si>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</si>
  <si>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</si>
  <si>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Vault Key0</t>
    <phoneticPr fontId="1" type="noConversion"/>
  </si>
  <si>
    <t>Vault Key1</t>
  </si>
  <si>
    <t>Vault Key2</t>
  </si>
  <si>
    <t>Vault Key3</t>
  </si>
  <si>
    <t>key summary</t>
    <phoneticPr fontId="1" type="noConversion"/>
  </si>
  <si>
    <t>Sum</t>
    <phoneticPr fontId="1" type="noConversion"/>
  </si>
  <si>
    <t>C00</t>
    <phoneticPr fontId="1" type="noConversion"/>
  </si>
  <si>
    <t>Enable LMS verify</t>
    <phoneticPr fontId="1" type="noConversion"/>
  </si>
  <si>
    <t>Secure Boot</t>
    <phoneticPr fontId="1" type="noConversion"/>
  </si>
  <si>
    <t>Anti-rollback disable</t>
  </si>
  <si>
    <t>Anti-Rollback</t>
    <phoneticPr fontId="1" type="noConversion"/>
  </si>
  <si>
    <t>Field Entropy</t>
  </si>
  <si>
    <t>DICE</t>
    <phoneticPr fontId="1" type="noConversion"/>
  </si>
  <si>
    <t>Manufacture Key Hash</t>
  </si>
  <si>
    <t>Secure Boot</t>
  </si>
  <si>
    <t>IDEVID Cert attr</t>
  </si>
  <si>
    <t>IDEVID manuf HSM identifier</t>
  </si>
  <si>
    <t>IDEVID TBS</t>
    <phoneticPr fontId="1" type="noConversion"/>
  </si>
  <si>
    <t>to-be-signed (TBS) payload.
The TBS is the certificate template already patched with the IDevID public key, Subject Key Identifier, serial number, and any extensions that are unique to the device that the vendor may have included.
Maximum size is 916 bytes according to mailbox command</t>
    <phoneticPr fontId="1" type="noConversion"/>
  </si>
  <si>
    <t>IDEVID Cert Signature</t>
  </si>
  <si>
    <t>IDEVID Certificate Signature R &amp; S</t>
    <phoneticPr fontId="1" type="noConversion"/>
  </si>
  <si>
    <t>1F80</t>
    <phoneticPr fontId="1" type="noConversion"/>
  </si>
  <si>
    <t>sw_puf</t>
    <phoneticPr fontId="1" type="noConversion"/>
  </si>
  <si>
    <t>hw_puf</t>
    <phoneticPr fontId="1" type="noConversion"/>
  </si>
  <si>
    <t>Version</t>
    <phoneticPr fontId="1" type="noConversion"/>
  </si>
  <si>
    <t>0</t>
    <phoneticPr fontId="1" type="noConversion"/>
  </si>
  <si>
    <t>ROM patch</t>
    <phoneticPr fontId="1" type="noConversion"/>
  </si>
  <si>
    <t>Including pre/post ROM patch</t>
    <phoneticPr fontId="1" type="noConversion"/>
  </si>
  <si>
    <t>Note</t>
    <phoneticPr fontId="1" type="noConversion"/>
  </si>
  <si>
    <t>SoC ROM supports pre &amp; post ROM patch.
- Pre ROM patch setting see OTPCFG4 &amp; 5.
- Post ROM patch setting see OTPCFG6 &amp; 7.</t>
    <phoneticPr fontId="1" type="noConversion"/>
  </si>
  <si>
    <t>Reserved</t>
    <phoneticPr fontId="1" type="noConversion"/>
  </si>
  <si>
    <t>can program &lt;= H_RID
OTP180~OTP184: current FW revision ID</t>
    <phoneticPr fontId="1" type="noConversion"/>
  </si>
  <si>
    <t>Caliptra fuse: KEY MANIFEST PK HASH MASK</t>
    <phoneticPr fontId="1" type="noConversion"/>
  </si>
  <si>
    <t>Caliptra fuse: LMS REVOCATION</t>
    <phoneticPr fontId="1" type="noConversion"/>
  </si>
  <si>
    <t>REG32</t>
    <phoneticPr fontId="1" type="noConversion"/>
  </si>
  <si>
    <t>MSB</t>
    <phoneticPr fontId="1" type="noConversion"/>
  </si>
  <si>
    <t>LSB</t>
    <phoneticPr fontId="1" type="noConversion"/>
  </si>
  <si>
    <t>Name</t>
    <phoneticPr fontId="1" type="noConversion"/>
  </si>
  <si>
    <t>Pre OTP Patch Code location</t>
  </si>
  <si>
    <t>Post OTP Patch Code location</t>
  </si>
  <si>
    <t>bit[5] - CPU SLIV RX latch data P/N swap
bit[4] - CPU SLIM RX latch data P/N swap
bit[3] - CPU SLIH RX latch data P/N swap (Not implemented in ROM)
bit[2] - IOD SLIV RX latch data P/N swap
bit[1] - IOD SLIM RX latch data P/N swap
bit[0] - IOD SLIH RX latch data P/N swap</t>
  </si>
  <si>
    <t>Disable OTP Memory Factory Test Mode
0: enable
1: disable
To prevent security issue of OTP memory. Disabled BIST mode is recommended.</t>
    <phoneticPr fontId="12" type="noConversion"/>
  </si>
  <si>
    <t>Enable Secure Boot
0:Disable
1:Enable</t>
    <phoneticPr fontId="12" type="noConversion"/>
  </si>
  <si>
    <t>2700 16Kb= 1k word =&gt; 10bit</t>
    <phoneticPr fontId="1" type="noConversion"/>
  </si>
  <si>
    <t>2700 OTP ROM region: 0x0~0x3e0 word</t>
    <phoneticPr fontId="1" type="noConversion"/>
  </si>
  <si>
    <t>2700 16Kb = 1k word =&gt; 10bit</t>
    <phoneticPr fontId="1" type="noConversion"/>
  </si>
  <si>
    <t>Width </t>
  </si>
  <si>
    <t>Name </t>
  </si>
  <si>
    <t>Description </t>
  </si>
  <si>
    <t>　</t>
  </si>
  <si>
    <t>AST2700 SCU</t>
  </si>
  <si>
    <t>OTP</t>
  </si>
  <si>
    <t>BootSPI</t>
  </si>
  <si>
    <t>Boot from CPU die SPI</t>
  </si>
  <si>
    <t>0: Boot from IO die SPI
1: Boot from CPU die SPI</t>
  </si>
  <si>
    <t>OTPSTRAP[1]</t>
  </si>
  <si>
    <t>HPLLFreq</t>
  </si>
  <si>
    <t>HPLL default frequency</t>
  </si>
  <si>
    <t>00: 2.0GHz, 01: 1.9GHz, 10: 1.8GHz, 11: 1.7GHz</t>
  </si>
  <si>
    <t>OTPSTRAP[3:2]</t>
  </si>
  <si>
    <t>CPUHPLL</t>
  </si>
  <si>
    <t>CPU clock PLL</t>
  </si>
  <si>
    <t>0: MPLL, 1: HPLL</t>
  </si>
  <si>
    <t>OTPSTRAP[4]</t>
  </si>
  <si>
    <t>HCLKSel</t>
  </si>
  <si>
    <t>AXI/AHB clock selection</t>
  </si>
  <si>
    <t>0x: 400MHz, 10: 266MHz, 11: 200MHz when HCLKPLL=0
0x: 500MHz, 10: 333MHz, 11: 250MHz when HCLKPLL=1</t>
  </si>
  <si>
    <t>OTPSTRAP[6:5]</t>
  </si>
  <si>
    <t>HCLKHPLL</t>
  </si>
  <si>
    <t>AXI/AHB clock PLL</t>
  </si>
  <si>
    <t>OTPSTRAP[7]</t>
  </si>
  <si>
    <t>DisDebug</t>
  </si>
  <si>
    <t>Disable Debug Interfaces for CPU die</t>
  </si>
  <si>
    <t>all debug interface SCU0C8</t>
  </si>
  <si>
    <t>OTPSTRAP[8]</t>
  </si>
  <si>
    <t>TSPRsntSel</t>
    <phoneticPr fontId="1" type="noConversion"/>
  </si>
  <si>
    <t>TSP reset pin selection</t>
  </si>
  <si>
    <t>0: SSPRSTN, 1: GPIO18E0</t>
  </si>
  <si>
    <t>OTPSTRAP[9]</t>
  </si>
  <si>
    <t>VGALinearSize[0]</t>
  </si>
  <si>
    <t>VGA linear memory size</t>
  </si>
  <si>
    <t>SW-ROM write to DRAMC100[0]</t>
  </si>
  <si>
    <t>OTPSTRAP[10]</t>
  </si>
  <si>
    <t>VGALinearSize[1]</t>
  </si>
  <si>
    <t>OTPSTRAP[11]</t>
  </si>
  <si>
    <t>DisSSP</t>
  </si>
  <si>
    <t>Disable SSP running</t>
  </si>
  <si>
    <t>OTPSTRAP[12]</t>
  </si>
  <si>
    <t>DisTSP</t>
  </si>
  <si>
    <t>Disable TSP running</t>
  </si>
  <si>
    <t>OTPSTRAP[13]</t>
  </si>
  <si>
    <t>En_UFS_Secure</t>
  </si>
  <si>
    <t>Enable UFS secure mode</t>
  </si>
  <si>
    <t>OTPSTRAP[14]</t>
  </si>
  <si>
    <t>OTPSTRAP[15]</t>
  </si>
  <si>
    <t>DisARMICE</t>
  </si>
  <si>
    <t>Disable ARM ICE</t>
  </si>
  <si>
    <t>Disable ARM ICE invasive debug</t>
  </si>
  <si>
    <t>VGA_CC</t>
  </si>
  <si>
    <t>VGA0/1 Class Code</t>
  </si>
  <si>
    <t>0: Class Code of VGA device, 1: Class code for video device</t>
  </si>
  <si>
    <t>ufs_clk_sel</t>
  </si>
  <si>
    <t>UFS reference clock selection</t>
  </si>
  <si>
    <t>0: Internal clk
1: External clk (OSC)</t>
  </si>
  <si>
    <t>BooteMMCSpeed</t>
  </si>
  <si>
    <t>eMMC Boot Speed</t>
  </si>
  <si>
    <t>0: low speed(25Mhz) 1: 50Mhz</t>
  </si>
  <si>
    <t>Disable_XHCI</t>
  </si>
  <si>
    <t>Disable XHCI0/1</t>
  </si>
  <si>
    <t>DisARMICE_TZ</t>
  </si>
  <si>
    <t>Disable ARM ICE in Trust World</t>
  </si>
  <si>
    <t>Disable ICE in Trust World </t>
  </si>
  <si>
    <t>Dis_WDTfull</t>
  </si>
  <si>
    <t>Disable WDT reset full</t>
  </si>
  <si>
    <t>udbg_to_sel</t>
  </si>
  <si>
    <t>Uart Debug timeout selection</t>
  </si>
  <si>
    <t>default: unlimited
need to sync CPU-die reg</t>
  </si>
  <si>
    <t>DAC_Src</t>
  </si>
  <si>
    <t>DAC's source selection</t>
  </si>
  <si>
    <t>0: PCIE VGA0
1: PCIE VGA1</t>
  </si>
  <si>
    <t>DP_Src</t>
  </si>
  <si>
    <t>DisplayPort's source selection</t>
  </si>
  <si>
    <t>Dis_RVAS</t>
  </si>
  <si>
    <t>Disable RVAS0/1</t>
  </si>
  <si>
    <t>N/A</t>
  </si>
  <si>
    <t>VRSize</t>
  </si>
  <si>
    <t>Node0 : Size of VGA RAM</t>
  </si>
  <si>
    <t>0: 32MB, 1:64MB (DRAMC100[0])</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</si>
  <si>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</si>
  <si>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</si>
  <si>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</si>
  <si>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</si>
  <si>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</si>
  <si>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</si>
  <si>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</si>
  <si>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</si>
  <si>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</si>
  <si>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</si>
  <si>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</si>
  <si>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</si>
  <si>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</si>
  <si>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</si>
  <si>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</si>
  <si>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</si>
  <si>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OTPStrap</t>
  </si>
  <si>
    <t>En_SecBoot</t>
  </si>
  <si>
    <t>Enable Secure Boot</t>
  </si>
  <si>
    <t>OTPSTRAP[16]</t>
  </si>
  <si>
    <t>DisDebug1</t>
  </si>
  <si>
    <t>Disable Debug Interfaces for IO die</t>
  </si>
  <si>
    <t>all debug interface SCUIO0C8</t>
  </si>
  <si>
    <t>OTPSTRAP[17]</t>
  </si>
  <si>
    <t>OTPSTRAP[18]</t>
  </si>
  <si>
    <t>Dis_UartDbg</t>
  </si>
  <si>
    <t>Disable Uart Debug</t>
  </si>
  <si>
    <t>OTPSTRAP[19]</t>
  </si>
  <si>
    <t>UartDbgSel</t>
  </si>
  <si>
    <t>Selection of IO for Uart Debug</t>
  </si>
  <si>
    <t>0: IO12 1: IO0</t>
  </si>
  <si>
    <t>OTPSTRAP[20]</t>
  </si>
  <si>
    <t>Dis_CptraJTag</t>
  </si>
  <si>
    <t>Disable JTAG of Caliptra permanently</t>
  </si>
  <si>
    <t>OTPSTRAP[21]</t>
  </si>
  <si>
    <t>En_ROM_Intr</t>
  </si>
  <si>
    <t>Enable ROM interrupt</t>
  </si>
  <si>
    <t>0: disable 1: enable</t>
  </si>
  <si>
    <t>OTPSTRAP[22]</t>
  </si>
  <si>
    <t>Dis_ROM</t>
  </si>
  <si>
    <t>Disable BootMCU ROM &amp; jump to I_FMC</t>
  </si>
  <si>
    <t>OTPSTRAP[23]</t>
  </si>
  <si>
    <t>eMMC_UFS_Boot</t>
  </si>
  <si>
    <t>Boot from eMMC or UFS selection</t>
  </si>
  <si>
    <t>0: eMMC 1: UFS</t>
  </si>
  <si>
    <t>OTPSTRAP[24]</t>
  </si>
  <si>
    <t>SPI_Flash_Wait_Ready</t>
  </si>
  <si>
    <t>Allow BROM to wait SPI flash ready bit</t>
  </si>
  <si>
    <t>OTPSTRAP[25]</t>
  </si>
  <si>
    <t>SPI_Flash_4_Byte_Mode</t>
  </si>
  <si>
    <t>Use 4-byte command to read flash</t>
  </si>
  <si>
    <t>OTPSTRAP[26]</t>
  </si>
  <si>
    <t>Recovery_mode_selection</t>
  </si>
  <si>
    <t>Recovery from Uart or USB selection</t>
  </si>
  <si>
    <t>0: Uart. 1: USB 2: I2C 3: I3C</t>
  </si>
  <si>
    <t>OTPSTRAP[28:27]</t>
  </si>
  <si>
    <t>RecUSBSel</t>
  </si>
  <si>
    <t>Boot from USB port selection</t>
  </si>
  <si>
    <t>0/1/2/3: Boot from USB port A/B/C/D</t>
  </si>
  <si>
    <t>OTPSTRAP[30:29]</t>
  </si>
  <si>
    <t>Dis_Cptra</t>
    <phoneticPr fontId="1" type="noConversion"/>
  </si>
  <si>
    <t>Disable Caliptra booting</t>
  </si>
  <si>
    <t>OTPSTRAP[31]</t>
  </si>
  <si>
    <t xml:space="preserve"> </t>
  </si>
  <si>
    <t>ABR</t>
  </si>
  <si>
    <t>boot storage ABR enable</t>
  </si>
  <si>
    <t>0: disable. 1: enable</t>
  </si>
  <si>
    <t>ROM_Clear_SRAM</t>
  </si>
  <si>
    <t>ROM clear SRAM</t>
  </si>
  <si>
    <t>Clear loaded image in SRAM when the loaded image is invalid.
0: disable
1: enable</t>
  </si>
  <si>
    <t>En_Cptra_debug</t>
  </si>
  <si>
    <t>Enable Caliptra debug state</t>
  </si>
  <si>
    <t>0: disable
1: enable</t>
  </si>
  <si>
    <t>En_ROM_WDT</t>
  </si>
  <si>
    <t>Enable ROM WDT</t>
  </si>
  <si>
    <t>0: disable
1: Enable</t>
  </si>
  <si>
    <t>FWSPISize</t>
  </si>
  <si>
    <t>Size of FW SPI Flash</t>
  </si>
  <si>
    <t>7: 512MB. 6: 256MB. 5: 128MB. 4: 64MB. 3: 32MB. 2: 16MB. 1: 8MB. 0: disable</t>
  </si>
  <si>
    <t>En_FWSPIAux</t>
  </si>
  <si>
    <t>Enable FWSPI auxiliary pins</t>
  </si>
  <si>
    <t>FWSPIDQ2/FWSPIDQ3/FWSPIABR/FWSPIWP# </t>
  </si>
  <si>
    <t>FWSPI_CRTM</t>
  </si>
  <si>
    <t>Size of FWSPI CRTM</t>
  </si>
  <si>
    <t>Boot_SPI_Freq</t>
  </si>
  <si>
    <t>Boot SPI Frequency Selection</t>
  </si>
  <si>
    <t>2b'00: 12.5MHz (by default)
2b'01: 25MHz
2b'10: 40MHz
2b'11: 50MHz</t>
  </si>
  <si>
    <t>Check_Flash_Access</t>
  </si>
  <si>
    <t>check flash is ready for accessing</t>
  </si>
  <si>
    <t>0: disable. 1: enable.</t>
  </si>
  <si>
    <t>ABR_RECOVERY_DIS</t>
  </si>
  <si>
    <t>disable recovery mode after ABR</t>
  </si>
  <si>
    <t>0: enable. 1: disable.</t>
  </si>
  <si>
    <t>FMC_ABR_CS_SWAP_DIS</t>
  </si>
  <si>
    <t>Disable CS swap after dual flash ABR is triggerred</t>
  </si>
  <si>
    <t>FMC_ABR_MODE</t>
  </si>
  <si>
    <t>FMC abr mode</t>
  </si>
  <si>
    <t>0: dual flash ABR, 1: single flash ABR.</t>
  </si>
  <si>
    <t>Node0_HostSPISize0</t>
  </si>
  <si>
    <t>Size of Host SPI Flash 0</t>
  </si>
  <si>
    <t>Node0_En_HSPIAux</t>
  </si>
  <si>
    <t>Enable Host SPI auxiliary pins</t>
  </si>
  <si>
    <t>SPIDQ2/SPIDQ3/SPIABR/SPIWP# </t>
  </si>
  <si>
    <t>Node0_HSPI0_CRTM</t>
  </si>
  <si>
    <t>Size of Host SPI0 CRTM</t>
  </si>
  <si>
    <t>Node0_SIODecSel</t>
  </si>
  <si>
    <t>Selection of SIO decode address</t>
  </si>
  <si>
    <t>0: 0x2E. 1: 0x4E.</t>
  </si>
  <si>
    <t>Node0_Dis_SIODec</t>
  </si>
  <si>
    <t>Disable SIO Decoding</t>
  </si>
  <si>
    <t>Node0_En_ACPI</t>
  </si>
  <si>
    <t>Enable ACPI</t>
  </si>
  <si>
    <t>Node0_En_LPC</t>
  </si>
  <si>
    <t>Enable LPC</t>
  </si>
  <si>
    <t>Node0_En_eDAF</t>
  </si>
  <si>
    <t>Enable eDAF</t>
  </si>
  <si>
    <t>Only takes effect for eSPI mode.</t>
  </si>
  <si>
    <t>Node0_En_eRTC</t>
  </si>
  <si>
    <t>Enable eSPI RTC</t>
  </si>
  <si>
    <t>Node1_HostSPISize1</t>
  </si>
  <si>
    <t>Size of Host SPI Flash 1</t>
  </si>
  <si>
    <t>Node1_En_HSPIAux</t>
  </si>
  <si>
    <t>Node1_HSPI1_CRTM</t>
  </si>
  <si>
    <t>Size of Host SPI1 CRTM</t>
  </si>
  <si>
    <t>Node1_SIODecSel</t>
  </si>
  <si>
    <t>Node1_Dis_SIODec</t>
  </si>
  <si>
    <t>Node1_En_ACPI</t>
  </si>
  <si>
    <t>Node1_En_LPC</t>
    <phoneticPr fontId="1" type="noConversion"/>
  </si>
  <si>
    <t>Node1_En_eDAF</t>
  </si>
  <si>
    <t>Node1_En_eRTC</t>
  </si>
  <si>
    <t>SCU0</t>
    <phoneticPr fontId="1" type="noConversion"/>
  </si>
  <si>
    <t>SCU1</t>
    <phoneticPr fontId="1" type="noConversion"/>
  </si>
  <si>
    <t>Disable Uart Debug</t>
    <phoneticPr fontId="1" type="noConversion"/>
  </si>
  <si>
    <t>0: enable 1: disable</t>
    <phoneticPr fontId="1" type="noConversion"/>
  </si>
  <si>
    <t>SCU0_010[1]</t>
  </si>
  <si>
    <t>SCU0_010[3:2]</t>
  </si>
  <si>
    <t>SCU0_010[4]</t>
  </si>
  <si>
    <t>SCU0_010[6:5]</t>
  </si>
  <si>
    <t>SCU0_010[7]</t>
  </si>
  <si>
    <t>SCU0_010[8]</t>
  </si>
  <si>
    <t>SCU0_010[9]</t>
  </si>
  <si>
    <t>SCU0_010[10]</t>
  </si>
  <si>
    <t>SCU0_010[11]</t>
  </si>
  <si>
    <t>SCU0_010[12]</t>
  </si>
  <si>
    <t>SCU0_010[13]</t>
  </si>
  <si>
    <t>SCU0_010[14]</t>
  </si>
  <si>
    <t>SCU0_010[15]</t>
  </si>
  <si>
    <t>SCU1_010[5]</t>
  </si>
  <si>
    <t>SCU1_010[16]</t>
  </si>
  <si>
    <t>SCU1_010[17]</t>
  </si>
  <si>
    <t>SCU1_010[18]</t>
  </si>
  <si>
    <t>SCU1_010[19]</t>
  </si>
  <si>
    <t>SCU1_010[20]</t>
  </si>
  <si>
    <t>SCU1_010[21]</t>
  </si>
  <si>
    <t>SCU1_010[22]</t>
  </si>
  <si>
    <t>SCU1_010[23]</t>
  </si>
  <si>
    <t>SCU1_010[24]</t>
  </si>
  <si>
    <t>SCU1_010[25]</t>
  </si>
  <si>
    <t>SCU1_010[27:26]</t>
  </si>
  <si>
    <t>SCU1_010[29:28]</t>
  </si>
  <si>
    <t>SCU1_010[30]</t>
  </si>
  <si>
    <t>SCU0_010[16]</t>
  </si>
  <si>
    <t>SCU0_010[17]</t>
  </si>
  <si>
    <t>SCU0_010[18]</t>
  </si>
  <si>
    <t>SCU0_010[19]</t>
  </si>
  <si>
    <t>SCU0_010[20]</t>
  </si>
  <si>
    <t>SCU0_010[21]</t>
  </si>
  <si>
    <t>SCU0_010[22]</t>
  </si>
  <si>
    <t>SCU0_010[23]</t>
  </si>
  <si>
    <t>SCU0_010[24]</t>
  </si>
  <si>
    <t>SCU0_010[25]</t>
  </si>
  <si>
    <t>SCU0_010[27:26]</t>
  </si>
  <si>
    <t>SCU0_010[28]</t>
  </si>
  <si>
    <t>SCU0_010[29]</t>
  </si>
  <si>
    <t>SCU0_010[30]</t>
  </si>
  <si>
    <t>SCU0_010[31]</t>
  </si>
  <si>
    <t>SCU0_A70[0]</t>
  </si>
  <si>
    <t>SCU0_A70[1]</t>
  </si>
  <si>
    <t>SCU0_A70[2]</t>
  </si>
  <si>
    <t>SCU0_A70[3]</t>
  </si>
  <si>
    <t>SCU0_AF0[0]</t>
  </si>
  <si>
    <t>SCU0_AF0[1]</t>
  </si>
  <si>
    <t>SCU0_AF0[2]</t>
  </si>
  <si>
    <t>SCU0_AF0[3]</t>
  </si>
  <si>
    <t>SCU1_030[0]</t>
  </si>
  <si>
    <t>SCU1_030[1]</t>
  </si>
  <si>
    <t>SCU1_030[6:2]</t>
  </si>
  <si>
    <t>SCU1_030[8:7]</t>
  </si>
  <si>
    <t>SCU1_030[10:9]</t>
  </si>
  <si>
    <t>SCU1_030[11]</t>
  </si>
  <si>
    <t>SCU1_030[12]</t>
  </si>
  <si>
    <t>SCU1_030[15:13]</t>
  </si>
  <si>
    <t>SCU1_030[16]</t>
  </si>
  <si>
    <t>SCU1_030[18:17]</t>
  </si>
  <si>
    <t>SCU1_030[21:19]</t>
  </si>
  <si>
    <t>SCU1_030[22]</t>
  </si>
  <si>
    <t>SCU1_030[24:23]</t>
  </si>
  <si>
    <t>SCU1_030[25]</t>
  </si>
  <si>
    <t>SCU1_030[26]</t>
  </si>
  <si>
    <t>SCU1_030[27]</t>
  </si>
  <si>
    <t>SCU1_030[28]</t>
  </si>
  <si>
    <t>SCU1_030[29]</t>
  </si>
  <si>
    <t>SCU1_030[31:30]</t>
  </si>
  <si>
    <t>SCU1_A00[2:0]</t>
  </si>
  <si>
    <t>SCU1_A00[3]</t>
  </si>
  <si>
    <t>SCU1_A00[5:4]</t>
  </si>
  <si>
    <t>SCU1_A00[6]</t>
  </si>
  <si>
    <t>SCU1_A00[7]</t>
  </si>
  <si>
    <t>SCU1_A00[8]</t>
  </si>
  <si>
    <t>SCU1_A00[9]</t>
  </si>
  <si>
    <t>SCU1_A00[10]</t>
  </si>
  <si>
    <t>SCU1_A00[11]</t>
  </si>
  <si>
    <t>SCU1_A00[15:12]</t>
  </si>
  <si>
    <t>SCU1_A20[2:0]</t>
  </si>
  <si>
    <t>SCU1_A20[3]</t>
  </si>
  <si>
    <t>SCU1_A20[5:4]</t>
  </si>
  <si>
    <t>SCU1_A20[6]</t>
  </si>
  <si>
    <t>SCU1_A20[7]</t>
  </si>
  <si>
    <t>SCU1_A20[8]</t>
  </si>
  <si>
    <t>SCU1_A20[9]</t>
  </si>
  <si>
    <t>SCU1_A20[10]</t>
  </si>
  <si>
    <t>SCU1_A20[11]</t>
  </si>
  <si>
    <t>SCU1_A20[15:12]</t>
  </si>
  <si>
    <t>OTPSTRAP_EXT[16]</t>
  </si>
  <si>
    <t>OTPSTRAP_EXT[17]</t>
  </si>
  <si>
    <t>OTPSTRAP_EXT[18]</t>
  </si>
  <si>
    <t>OTPSTRAP_EXT[19]</t>
  </si>
  <si>
    <t>OTPSTRAP_EXT[20]</t>
  </si>
  <si>
    <t>OTPSTRAP_EXT[21]</t>
  </si>
  <si>
    <t>OTPSTRAP_EXT[22]</t>
  </si>
  <si>
    <t>OTPSTRAP_EXT[23]</t>
  </si>
  <si>
    <t>OTPSTRAP_EXT[24]</t>
  </si>
  <si>
    <t>OTPSTRAP_EXT[25]</t>
  </si>
  <si>
    <t>OTPSTRAP_EXT[27:26]</t>
  </si>
  <si>
    <t>OTPSTRAP_EXT[28]</t>
  </si>
  <si>
    <t>OTPSTRAP_EXT[30]</t>
  </si>
  <si>
    <t>OTPSTRAP_EXT[31]</t>
  </si>
  <si>
    <t>OTPSTRAP_EXT[96]</t>
  </si>
  <si>
    <t>OTPSTRAP_EXT[97]</t>
  </si>
  <si>
    <t>OTPSTRAP_EXT[98]</t>
  </si>
  <si>
    <t>OTPSTRAP_EXT[99]</t>
  </si>
  <si>
    <t>OTPSTRAP_EXT[100]</t>
  </si>
  <si>
    <t>OTPSTRAP_EXT[101]</t>
  </si>
  <si>
    <t>OTPSTRAP_EXT[102]</t>
  </si>
  <si>
    <t>OTPSTRAP_EXT[103]</t>
  </si>
  <si>
    <t>OTPSTRAP_EXT[104]</t>
  </si>
  <si>
    <t>OTPSTRAP_EXT[105]</t>
  </si>
  <si>
    <t>OTPSTRAP_EXT[106]</t>
  </si>
  <si>
    <t>OTPSTRAP_EXT[107]</t>
  </si>
  <si>
    <t>OTPSTRAP_EXT[108]</t>
  </si>
  <si>
    <t>OTPSTRAP_EXT[109]</t>
  </si>
  <si>
    <t>OTPSTRAP_EXT[110]</t>
  </si>
  <si>
    <t>OTPSTRAP_EXT[127:111]</t>
  </si>
  <si>
    <t>OTPSTRAP_EXT[32]</t>
  </si>
  <si>
    <t>OTPSTRAP_EXT[33]</t>
  </si>
  <si>
    <t>OTPSTRAP_EXT[38:34]</t>
  </si>
  <si>
    <t>OTPSTRAP_EXT[40:39]</t>
  </si>
  <si>
    <t>OTPSTRAP_EXT[42:41]</t>
  </si>
  <si>
    <t>OTPSTRAP_EXT[43]</t>
  </si>
  <si>
    <t>OTPSTRAP_EXT[44]</t>
  </si>
  <si>
    <t>OTPSTRAP_EXT[47:45]</t>
  </si>
  <si>
    <t>OTPSTRAP_EXT[48]</t>
  </si>
  <si>
    <t>OTPSTRAP_EXT[50:49]</t>
  </si>
  <si>
    <t>OTPSTRAP_EXT[53:51]</t>
  </si>
  <si>
    <t>OTPSTRAP_EXT[54]</t>
  </si>
  <si>
    <t>OTPSTRAP_EXT[56:55]</t>
  </si>
  <si>
    <t>OTPSTRAP_EXT[57]</t>
  </si>
  <si>
    <t>OTPSTRAP_EXT[58]</t>
  </si>
  <si>
    <t>OTPSTRAP_EXT[59]</t>
  </si>
  <si>
    <t>OTPSTRAP_EXT[60]</t>
  </si>
  <si>
    <t>OTPSTRAP_EXT[61]</t>
  </si>
  <si>
    <t>OTPSTRAP_EXT[63:62]</t>
  </si>
  <si>
    <t>OTPSTRAP_EXT[66:64]</t>
  </si>
  <si>
    <t>OTPSTRAP_EXT[67]</t>
  </si>
  <si>
    <t>OTPSTRAP_EXT[69:68]</t>
  </si>
  <si>
    <t>OTPSTRAP_EXT[70]</t>
  </si>
  <si>
    <t>OTPSTRAP_EXT[71]</t>
  </si>
  <si>
    <t>OTPSTRAP_EXT[72]</t>
  </si>
  <si>
    <t>OTPSTRAP_EXT[73]</t>
  </si>
  <si>
    <t>OTPSTRAP_EXT[74]</t>
  </si>
  <si>
    <t>OTPSTRAP_EXT[75]</t>
  </si>
  <si>
    <t>OTPSTRAP_EXT[79:76]</t>
  </si>
  <si>
    <t>OTPSTRAP_EXT[82:80]</t>
  </si>
  <si>
    <t>OTPSTRAP_EXT[83]</t>
  </si>
  <si>
    <t>OTPSTRAP_EXT[85:84]</t>
  </si>
  <si>
    <t>OTPSTRAP_EXT[86]</t>
  </si>
  <si>
    <t>OTPSTRAP_EXT[87]</t>
  </si>
  <si>
    <t>OTPSTRAP_EXT[88]</t>
  </si>
  <si>
    <t>OTPSTRAP_EXT[89]</t>
  </si>
  <si>
    <t>OTPSTRAP_EXT[90]</t>
  </si>
  <si>
    <t>OTPSTRAP_EXT[91]</t>
  </si>
  <si>
    <t>OTPSTRAP_EXT[95:92]</t>
  </si>
  <si>
    <t>OTPSTRAP_EXT[29]</t>
    <phoneticPr fontId="1" type="noConversion"/>
  </si>
  <si>
    <t>OTPSTRAP00</t>
  </si>
  <si>
    <t>otp_eccbrp_en</t>
  </si>
  <si>
    <t>per bit lock</t>
    <phoneticPr fontId="1" type="noConversion"/>
  </si>
  <si>
    <t>bit0: enable ecc/brp (except otpstrap/otprbp)</t>
    <phoneticPr fontId="1" type="noConversion"/>
  </si>
  <si>
    <t>otp trap extension src0</t>
  </si>
  <si>
    <t>otp trap extension src0 vld</t>
  </si>
  <si>
    <t>otpstrap_ext_0 value</t>
    <phoneticPr fontId="1" type="noConversion"/>
  </si>
  <si>
    <t>otpstrap_ext_1 value</t>
  </si>
  <si>
    <t>otpstrap_ext_2 value</t>
  </si>
  <si>
    <t>otpstrap_ext_3 value</t>
  </si>
  <si>
    <t>otpstrap_ext_4 value</t>
  </si>
  <si>
    <t>otpstrap_ext_5 value</t>
  </si>
  <si>
    <t>otpstrap_ext_6 value</t>
  </si>
  <si>
    <t>otpstrap_ext_7 value</t>
  </si>
  <si>
    <t>otpstrap_ext_0 valid</t>
    <phoneticPr fontId="1" type="noConversion"/>
  </si>
  <si>
    <t>otpstrap_ext_1 valid</t>
  </si>
  <si>
    <t>otpstrap_ext_2 valid</t>
  </si>
  <si>
    <t>otpstrap_ext_3 valid</t>
  </si>
  <si>
    <t>otpstrap_ext_4 valid</t>
  </si>
  <si>
    <t>otpstrap_ext_5 valid</t>
  </si>
  <si>
    <t>otpstrap_ext_6 valid</t>
  </si>
  <si>
    <t>otpstrap_ext_7 valid</t>
  </si>
  <si>
    <t>set 1: trap result always sel from otp trap ext src0</t>
    <phoneticPr fontId="1" type="noConversion"/>
  </si>
  <si>
    <t>set 1: trap result always sel from otp trap ext src1</t>
  </si>
  <si>
    <t>set 1: trap result always sel from otp trap ext src2</t>
  </si>
  <si>
    <t>set 1: trap result always sel from otp trap ext src3</t>
  </si>
  <si>
    <t>set 1: trap result always sel from otp trap ext src4</t>
  </si>
  <si>
    <t>set 1: trap result always sel from otp trap ext src5</t>
  </si>
  <si>
    <t>set 1: trap result always sel from otp trap ext src6</t>
  </si>
  <si>
    <t>set 1: trap result always sel from otp trap ext src7</t>
  </si>
  <si>
    <t>User Region</t>
    <phoneticPr fontId="1" type="noConversion"/>
  </si>
  <si>
    <t>Reserved for customers (OEM/ODM)</t>
    <phoneticPr fontId="1" type="noConversion"/>
  </si>
  <si>
    <r>
      <rPr>
        <b/>
        <sz val="12"/>
        <color theme="1"/>
        <rFont val="Arial"/>
        <family val="2"/>
      </rPr>
      <t>Caliptra fuse: LMS VERIFY</t>
    </r>
    <r>
      <rPr>
        <sz val="12"/>
        <color theme="1"/>
        <rFont val="Arial"/>
        <family val="2"/>
      </rPr>
      <t xml:space="preserve">
Verify Caliptra firmware images with both ECDSA and LMS</t>
    </r>
    <phoneticPr fontId="1" type="noConversion"/>
  </si>
  <si>
    <r>
      <rPr>
        <b/>
        <sz val="12"/>
        <color theme="1"/>
        <rFont val="Arial"/>
        <family val="2"/>
      </rPr>
      <t>Caliptra fuse: ANTI-ROLLBACK DISABLE</t>
    </r>
    <r>
      <rPr>
        <sz val="12"/>
        <color theme="1"/>
        <rFont val="Arial"/>
        <family val="2"/>
      </rPr>
      <t xml:space="preserve">
Disable anti-rollback support from Caliptra</t>
    </r>
    <phoneticPr fontId="1" type="noConversion"/>
  </si>
  <si>
    <r>
      <rPr>
        <b/>
        <sz val="12"/>
        <color theme="1"/>
        <rFont val="Arial"/>
        <family val="2"/>
      </rPr>
      <t xml:space="preserve">Caliptra fuse: FIELD ENTROPY
</t>
    </r>
    <r>
      <rPr>
        <sz val="12"/>
        <color theme="1"/>
        <rFont val="Arial"/>
        <family val="2"/>
      </rPr>
      <t>Owner secret to hedge against UDS disclosure in the supply chain</t>
    </r>
    <phoneticPr fontId="1" type="noConversion"/>
  </si>
  <si>
    <r>
      <rPr>
        <b/>
        <sz val="12"/>
        <color theme="1"/>
        <rFont val="Arial"/>
        <family val="2"/>
      </rPr>
      <t xml:space="preserve">Caliptra fuse: KEY MANIFEST PK HASH
</t>
    </r>
    <r>
      <rPr>
        <sz val="12"/>
        <color theme="1"/>
        <rFont val="Arial"/>
        <family val="2"/>
      </rPr>
      <t>Manufacture/Vendor key hash</t>
    </r>
    <phoneticPr fontId="1" type="noConversion"/>
  </si>
  <si>
    <r>
      <rPr>
        <b/>
        <sz val="12"/>
        <color theme="1"/>
        <rFont val="Arial"/>
        <family val="2"/>
      </rPr>
      <t xml:space="preserve">Caliptra fuse: IDEVID CERT IDEVID ATTR
</t>
    </r>
    <r>
      <rPr>
        <sz val="12"/>
        <color theme="1"/>
        <rFont val="Arial"/>
        <family val="2"/>
      </rPr>
      <t>The information for generating IDEVID CSR
DW 0: X509 key ID algorithm
0: SHA1
1: SHA256
2: SHA384
3: Fuse → already programmed DW 1/2/3/4/5, not runtime gen
DW 1/2/3/4/5: Subject Key ID
DW 6: ueid_type
DW 7/8/9/10: Unique endpoint ID (Manufacture Serial number)</t>
    </r>
    <phoneticPr fontId="1" type="noConversion"/>
  </si>
  <si>
    <r>
      <rPr>
        <b/>
        <sz val="12"/>
        <color theme="1"/>
        <rFont val="Arial"/>
        <family val="2"/>
      </rPr>
      <t xml:space="preserve">Caliptra fuse: IDEVID MANUF HSM IDENTIFIER
</t>
    </r>
    <r>
      <rPr>
        <sz val="12"/>
        <color theme="1"/>
        <rFont val="Arial"/>
        <family val="2"/>
      </rPr>
      <t>Vendor IDevID provisioner CA identifiers</t>
    </r>
    <phoneticPr fontId="1" type="noConversion"/>
  </si>
  <si>
    <r>
      <rPr>
        <b/>
        <sz val="12"/>
        <color theme="1"/>
        <rFont val="Arial"/>
        <family val="2"/>
      </rPr>
      <t>Caliptra fuse: FMC KEY MANIFEST SVN</t>
    </r>
    <r>
      <rPr>
        <sz val="12"/>
        <color theme="1"/>
        <rFont val="Arial"/>
        <family val="2"/>
      </rPr>
      <t xml:space="preserve">
effect only secure boot is enabled
Policy: FMC SVN &gt;= HW FMC SVN</t>
    </r>
    <phoneticPr fontId="1" type="noConversion"/>
  </si>
  <si>
    <r>
      <rPr>
        <b/>
        <sz val="12"/>
        <color theme="1"/>
        <rFont val="Arial"/>
        <family val="2"/>
      </rPr>
      <t>Caliptra fuse: RUNTIME SVN</t>
    </r>
    <r>
      <rPr>
        <sz val="12"/>
        <color theme="1"/>
        <rFont val="Arial"/>
        <family val="2"/>
      </rPr>
      <t xml:space="preserve">
effect only secure boot is enabled
Policy: FMC SVN &gt;= HW FMC SVN</t>
    </r>
    <phoneticPr fontId="1" type="noConversion"/>
  </si>
  <si>
    <t>Caliptra OBF Key (HW auto load)
only bootmcu can read</t>
    <phoneticPr fontId="1" type="noConversion"/>
  </si>
  <si>
    <t>Caliptra UDS Seed
only bootmcu can read</t>
    <phoneticPr fontId="1" type="noConversion"/>
  </si>
  <si>
    <t>PROT UDS
only bootmcu can read</t>
    <phoneticPr fontId="1" type="noConversion"/>
  </si>
  <si>
    <t>Reserved to customers</t>
    <phoneticPr fontId="1" type="noConversion"/>
  </si>
  <si>
    <t>Reserved
only bootmcu can read</t>
    <phoneticPr fontId="1" type="noConversion"/>
  </si>
  <si>
    <t>Secret vault key
only bootmcu can read</t>
    <phoneticPr fontId="1" type="noConversion"/>
  </si>
  <si>
    <t>Secure Vault</t>
    <phoneticPr fontId="1" type="noConversion"/>
  </si>
  <si>
    <t>Sum</t>
    <phoneticPr fontId="1" type="noConversion"/>
  </si>
  <si>
    <t>Actual</t>
    <phoneticPr fontId="1" type="noConversion"/>
  </si>
  <si>
    <t>OTPUSR</t>
    <phoneticPr fontId="1" type="noConversion"/>
  </si>
  <si>
    <t>OTPSEC</t>
    <phoneticPr fontId="1" type="noConversion"/>
  </si>
  <si>
    <t>OTPCAL</t>
    <phoneticPr fontId="1" type="noConversion"/>
  </si>
  <si>
    <t>OTPPUF</t>
    <phoneticPr fontId="1" type="noConversion"/>
  </si>
  <si>
    <t>(wlock)</t>
    <phoneticPr fontId="1" type="noConversion"/>
  </si>
  <si>
    <r>
      <t xml:space="preserve">The Device Life Cycle State. It's the source of Security State.
0: Un-provisioned
</t>
    </r>
    <r>
      <rPr>
        <b/>
        <sz val="12"/>
        <color rgb="FF0070C0"/>
        <rFont val="Arial"/>
        <family val="2"/>
      </rPr>
      <t>1: Manufacturing</t>
    </r>
    <r>
      <rPr>
        <sz val="12"/>
        <rFont val="Arial"/>
        <family val="2"/>
      </rPr>
      <t xml:space="preserve">
2: Reserved
3: Production</t>
    </r>
    <phoneticPr fontId="1" type="noConversion"/>
  </si>
  <si>
    <r>
      <t xml:space="preserve">0: disable 1: enable </t>
    </r>
    <r>
      <rPr>
        <b/>
        <sz val="11"/>
        <color rgb="FF0070C0"/>
        <rFont val="Calibri"/>
        <family val="2"/>
      </rPr>
      <t>(wlock)</t>
    </r>
    <phoneticPr fontId="1" type="noConversion"/>
  </si>
  <si>
    <t>OTPSTRAP[0:15] = SCU0 (otpstrap opt0_lsb ^ otpstrap opt1_lsb ^ otpstrap opt2_lsb ^ otpstrap opt_lsb3 ^ otpstrap opt4_lsb ^ otpstrap opt5_lsb)</t>
    <phoneticPr fontId="1" type="noConversion"/>
  </si>
  <si>
    <t>OTPSTRAP[16:31] = SCU1 (otpstrap opt0_msb ^ otpstrap opt1_msb ^ otpstrap opt2_msb ^ otpstrap opt3_msb ^ otpstrap opt4_msb ^ otpstrap opt5_msb)</t>
    <phoneticPr fontId="1" type="noConversion"/>
  </si>
  <si>
    <t>NOTICE: The blue color fields show what would be provisioned by ASPEED
OTPROM, OTPCFG, OTPSTRAP, OTPCAL, OTPPUF</t>
    <phoneticPr fontId="1" type="noConversion"/>
  </si>
  <si>
    <t>NOTICE: The red color fields show what should be provisioned by Customers 
for Secure Boot
OTPSTRAP, OTPSEC</t>
    <phoneticPr fontId="1" type="noConversion"/>
  </si>
  <si>
    <t>NOTICE: The purple color fields show what should be provisioned by Customers 
for Production
OTPSTRAP</t>
    <phoneticPr fontId="1" type="noConversion"/>
  </si>
  <si>
    <t>SoC Manifest Hardware SVN</t>
    <phoneticPr fontId="1" type="noConversion"/>
  </si>
  <si>
    <t>SoC Manifest security version number
effect only secure boot is enabled
Boot up Policy: SoC Manifest SVN &gt;= HW SoC Manifest SVN</t>
    <phoneticPr fontId="1" type="noConversion"/>
  </si>
  <si>
    <t>puf_source</t>
    <phoneticPr fontId="1" type="noConversion"/>
  </si>
  <si>
    <t>0: NIST-TRNG
1: SCU-TRNG</t>
    <phoneticPr fontId="1" type="noConversion"/>
  </si>
  <si>
    <r>
      <t xml:space="preserve">en_lms_verify
</t>
    </r>
    <r>
      <rPr>
        <sz val="12"/>
        <rFont val="Arial"/>
        <family val="2"/>
      </rPr>
      <t>Reserved</t>
    </r>
    <phoneticPr fontId="1" type="noConversion"/>
  </si>
  <si>
    <t>reserved (60)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</si>
</sst>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34" x14ac:knownFonts="1">
    <font>
      <sz val="12"/>
      <color theme="1"/>
      <name val="新細明體"/>
      <family val="2"/>
      <charset val="136"/>
      <scheme val="minor"/>
    </font>
    <font>
      <sz val="9"/>
      <name val="新細明體"/>
      <family val="2"/>
      <charset val="136"/>
      <scheme val="minor"/>
    </font>
    <font>
      <sz val="12"/>
      <color theme="1"/>
      <name val="Arial"/>
      <family val="2"/>
    </font>
    <font>
      <sz val="12"/>
      <color rgb="FF000000"/>
      <name val="Arial"/>
      <family val="2"/>
    </font>
    <font>
      <u/>
      <sz val="12"/>
      <color theme="10"/>
      <name val="新細明體"/>
      <family val="2"/>
      <charset val="136"/>
      <scheme val="minor"/>
    </font>
    <font>
      <sz val="12"/>
      <color theme="1"/>
      <name val="Calibri"/>
      <family val="2"/>
    </font>
    <font>
      <sz val="12"/>
      <color rgb="FF006100"/>
      <name val="新細明體"/>
      <family val="2"/>
      <charset val="136"/>
      <scheme val="minor"/>
    </font>
    <font>
      <sz val="14"/>
      <color rgb="FF006100"/>
      <name val="Arial"/>
      <family val="2"/>
    </font>
    <font>
      <sz val="14"/>
      <color theme="1"/>
      <name val="Calibri"/>
      <family val="2"/>
    </font>
    <font>
      <b/>
      <sz val="16"/>
      <color theme="1"/>
      <name val="Calibri"/>
      <family val="2"/>
    </font>
    <font>
      <sz val="12"/>
      <color indexed="8"/>
      <name val="新細明體"/>
      <family val="1"/>
      <charset val="136"/>
    </font>
    <font>
      <sz val="12"/>
      <color indexed="8"/>
      <name val="Cambria"/>
      <family val="1"/>
    </font>
    <font>
      <sz val="9"/>
      <name val="新細明體"/>
      <family val="1"/>
      <charset val="136"/>
    </font>
    <font>
      <sz val="12"/>
      <name val="新細明體"/>
      <family val="1"/>
      <charset val="136"/>
    </font>
    <font>
      <sz val="12"/>
      <name val="Arial"/>
      <family val="2"/>
    </font>
    <font>
      <b/>
      <sz val="14"/>
      <color theme="1"/>
      <name val="Calibri"/>
      <family val="2"/>
    </font>
    <font>
      <sz val="12"/>
      <color indexed="8"/>
      <name val="Arial"/>
      <family val="2"/>
    </font>
    <font>
      <b/>
      <sz val="12"/>
      <color theme="0"/>
      <name val="新細明體"/>
      <family val="2"/>
      <charset val="136"/>
      <scheme val="minor"/>
    </font>
    <font>
      <sz val="11"/>
      <name val="Calibri"/>
      <family val="2"/>
    </font>
    <font>
      <b/>
      <sz val="11"/>
      <color rgb="FFFFFFFF"/>
      <name val="Calibri"/>
      <family val="2"/>
    </font>
    <font>
      <sz val="11"/>
      <color rgb="FF000000"/>
      <name val="Calibri"/>
      <family val="2"/>
    </font>
    <font>
      <sz val="11"/>
      <color rgb="FFFF0000"/>
      <name val="Calibri"/>
      <family val="2"/>
    </font>
    <font>
      <sz val="11"/>
      <color rgb="FF00B0F0"/>
      <name val="Calibri"/>
      <family val="2"/>
    </font>
    <font>
      <b/>
      <sz val="12"/>
      <color theme="1"/>
      <name val="Arial"/>
      <family val="2"/>
    </font>
    <font>
      <b/>
      <sz val="14"/>
      <color rgb="FFFF0000"/>
      <name val="Calibri"/>
      <family val="2"/>
    </font>
    <font>
      <b/>
      <sz val="14"/>
      <color rgb="FF0070C0"/>
      <name val="Calibri"/>
      <family val="2"/>
    </font>
    <font>
      <b/>
      <sz val="12"/>
      <color rgb="FF0070C0"/>
      <name val="Arial"/>
      <family val="2"/>
    </font>
    <font>
      <b/>
      <sz val="12"/>
      <color rgb="FFFF0000"/>
      <name val="Arial"/>
      <family val="2"/>
    </font>
    <font>
      <b/>
      <sz val="11"/>
      <color rgb="FFFF0000"/>
      <name val="Calibri"/>
      <family val="2"/>
    </font>
    <font>
      <b/>
      <sz val="11"/>
      <color rgb="FF0070C0"/>
      <name val="Calibri"/>
      <family val="2"/>
    </font>
    <font>
      <b/>
      <sz val="12"/>
      <color rgb="FF000000"/>
      <name val="Arial"/>
      <family val="2"/>
    </font>
    <font>
      <b/>
      <sz val="14"/>
      <color rgb="FF7030A0"/>
      <name val="Calibri"/>
      <family val="2"/>
    </font>
    <font>
      <strike/>
      <sz val="12"/>
      <name val="Arial"/>
      <family val="2"/>
    </font>
    <font>
      <sz val="12"/>
      <color rgb="FF00B0F0"/>
      <name val="Arial"/>
      <family val="2"/>
    </font>
  </fonts>
  <fills count="16">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1" tint="0.499984740745262"/>
        <bgColor indexed="64"/>
      </patternFill>
    </fill>
    <fill>
      <patternFill patternType="solid">
        <fgColor rgb="FFA9D08E"/>
        <bgColor rgb="FF000000"/>
      </patternFill>
    </fill>
    <fill>
      <patternFill patternType="solid">
        <fgColor rgb="FFFFE699"/>
        <bgColor rgb="FF000000"/>
      </patternFill>
    </fill>
    <fill>
      <patternFill patternType="solid">
        <fgColor rgb="FF00B0F0"/>
        <bgColor rgb="FF000000"/>
      </patternFill>
    </fill>
    <fill>
      <patternFill patternType="solid">
        <fgColor theme="7" tint="-0.249977111117893"/>
        <bgColor indexed="64"/>
      </patternFill>
    </fill>
    <fill>
      <patternFill patternType="solid">
        <fgColor rgb="FF808080"/>
        <bgColor rgb="FF000000"/>
      </patternFill>
    </fill>
    <fill>
      <patternFill patternType="solid">
        <fgColor rgb="FFFFC000"/>
        <bgColor rgb="FF000000"/>
      </patternFill>
    </fill>
    <fill>
      <patternFill patternType="solid">
        <fgColor rgb="FFFFFFFF"/>
        <bgColor rgb="FF000000"/>
      </patternFill>
    </fill>
    <fill>
      <patternFill patternType="solid">
        <fgColor theme="5" tint="0.59999389629810485"/>
        <bgColor indexed="64"/>
      </patternFill>
    </fill>
    <fill>
      <patternFill patternType="solid">
        <fgColor theme="5" tint="0.59999389629810485"/>
        <bgColor rgb="FF000000"/>
      </patternFill>
    </fill>
  </fills>
  <borders count="7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indexed="64"/>
      </left>
      <right style="thin">
        <color indexed="64"/>
      </right>
      <top/>
      <bottom style="thin">
        <color rgb="FF000000"/>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medium">
        <color indexed="64"/>
      </bottom>
      <diagonal/>
    </border>
    <border>
      <left style="thin">
        <color indexed="64"/>
      </left>
      <right style="thin">
        <color indexed="64"/>
      </right>
      <top/>
      <bottom style="medium">
        <color rgb="FF00000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000000"/>
      </left>
      <right style="thin">
        <color rgb="FF000000"/>
      </right>
      <top style="thin">
        <color rgb="FF000000"/>
      </top>
      <bottom style="medium">
        <color rgb="FF000000"/>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rgb="FF000000"/>
      </right>
      <top/>
      <bottom style="medium">
        <color indexed="64"/>
      </bottom>
      <diagonal/>
    </border>
    <border>
      <left/>
      <right/>
      <top style="medium">
        <color indexed="64"/>
      </top>
      <bottom style="medium">
        <color indexed="64"/>
      </bottom>
      <diagonal/>
    </border>
    <border>
      <left/>
      <right style="thin">
        <color indexed="64"/>
      </right>
      <top/>
      <bottom style="thin">
        <color rgb="FF000000"/>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rgb="FF000000"/>
      </right>
      <top/>
      <bottom style="thin">
        <color rgb="FF000000"/>
      </bottom>
      <diagonal/>
    </border>
    <border>
      <left/>
      <right style="thin">
        <color rgb="FF000000"/>
      </right>
      <top/>
      <bottom/>
      <diagonal/>
    </border>
    <border>
      <left/>
      <right style="thin">
        <color indexed="64"/>
      </right>
      <top/>
      <bottom/>
      <diagonal/>
    </border>
    <border>
      <left style="thin">
        <color indexed="64"/>
      </left>
      <right/>
      <top/>
      <bottom style="medium">
        <color indexed="64"/>
      </bottom>
      <diagonal/>
    </border>
    <border>
      <left/>
      <right/>
      <top/>
      <bottom style="medium">
        <color indexed="64"/>
      </bottom>
      <diagonal/>
    </border>
    <border>
      <left style="medium">
        <color rgb="FF000000"/>
      </left>
      <right style="thin">
        <color indexed="64"/>
      </right>
      <top style="medium">
        <color rgb="FF000000"/>
      </top>
      <bottom/>
      <diagonal/>
    </border>
    <border>
      <left/>
      <right style="thin">
        <color indexed="64"/>
      </right>
      <top style="medium">
        <color indexed="64"/>
      </top>
      <bottom/>
      <diagonal/>
    </border>
    <border>
      <left style="medium">
        <color rgb="FF000000"/>
      </left>
      <right style="thin">
        <color indexed="64"/>
      </right>
      <top/>
      <bottom style="medium">
        <color rgb="FF000000"/>
      </bottom>
      <diagonal/>
    </border>
    <border>
      <left/>
      <right style="thin">
        <color indexed="64"/>
      </right>
      <top/>
      <bottom style="medium">
        <color indexed="64"/>
      </bottom>
      <diagonal/>
    </border>
    <border>
      <left style="thin">
        <color indexed="64"/>
      </left>
      <right style="thin">
        <color indexed="64"/>
      </right>
      <top style="medium">
        <color rgb="FF000000"/>
      </top>
      <bottom/>
      <diagonal/>
    </border>
    <border>
      <left/>
      <right/>
      <top style="medium">
        <color rgb="FF000000"/>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thin">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rgb="FF000000"/>
      </bottom>
      <diagonal/>
    </border>
    <border>
      <left style="thin">
        <color rgb="FF000000"/>
      </left>
      <right style="thin">
        <color indexed="64"/>
      </right>
      <top style="thin">
        <color rgb="FF000000"/>
      </top>
      <bottom style="medium">
        <color rgb="FF000000"/>
      </bottom>
      <diagonal/>
    </border>
    <border>
      <left style="thin">
        <color rgb="FF000000"/>
      </left>
      <right/>
      <top style="thin">
        <color rgb="FF000000"/>
      </top>
      <bottom/>
      <diagonal/>
    </border>
    <border>
      <left/>
      <right/>
      <top/>
      <bottom style="thin">
        <color indexed="64"/>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000000"/>
      </left>
      <right/>
      <top/>
      <bottom style="medium">
        <color indexed="64"/>
      </bottom>
      <diagonal/>
    </border>
    <border>
      <left/>
      <right/>
      <top style="thin">
        <color indexed="64"/>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style="thin">
        <color rgb="FF000000"/>
      </bottom>
      <diagonal/>
    </border>
    <border>
      <left style="thin">
        <color rgb="FF000000"/>
      </left>
      <right style="thin">
        <color indexed="64"/>
      </right>
      <top/>
      <bottom style="thin">
        <color rgb="FF000000"/>
      </bottom>
      <diagonal/>
    </border>
    <border>
      <left style="thin">
        <color indexed="64"/>
      </left>
      <right style="thin">
        <color rgb="FF000000"/>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alignment vertical="center"/>
    </xf>
    <xf numFmtId="0" fontId="4" fillId="0" borderId="0" applyNumberFormat="0" applyFill="0" applyBorder="0" applyAlignment="0" applyProtection="0">
      <alignment vertical="center"/>
    </xf>
    <xf numFmtId="0" fontId="6" fillId="2" borderId="0" applyNumberFormat="0" applyBorder="0" applyAlignment="0" applyProtection="0">
      <alignment vertical="center"/>
    </xf>
    <xf numFmtId="0" fontId="10" fillId="0" borderId="0"/>
  </cellStyleXfs>
  <cellXfs count="295">
    <xf numFmtId="0" fontId="0" fillId="0" borderId="0" xfId="0">
      <alignment vertical="center"/>
    </xf>
    <xf numFmtId="0" fontId="2" fillId="0" borderId="1" xfId="0" applyFont="1" applyBorder="1" applyAlignment="1">
      <alignment horizontal="left" vertical="center"/>
    </xf>
    <xf numFmtId="0" fontId="2" fillId="0" borderId="1" xfId="0" applyFont="1" applyBorder="1" applyAlignment="1">
      <alignment vertical="center" wrapText="1"/>
    </xf>
    <xf numFmtId="0" fontId="2" fillId="0" borderId="4" xfId="0" applyFont="1" applyBorder="1">
      <alignment vertical="center"/>
    </xf>
    <xf numFmtId="0" fontId="2" fillId="0" borderId="4" xfId="0" applyFont="1" applyBorder="1" applyAlignment="1">
      <alignment horizontal="left" vertical="center"/>
    </xf>
    <xf numFmtId="0" fontId="2" fillId="0" borderId="4" xfId="0" applyFont="1" applyBorder="1" applyAlignment="1">
      <alignment vertical="center" wrapText="1"/>
    </xf>
    <xf numFmtId="0" fontId="3" fillId="0" borderId="3" xfId="0" applyFont="1" applyBorder="1" applyAlignment="1">
      <alignment horizontal="left" vertical="center"/>
    </xf>
    <xf numFmtId="0" fontId="3" fillId="0" borderId="1" xfId="0" applyFont="1" applyBorder="1">
      <alignment vertical="center"/>
    </xf>
    <xf numFmtId="0" fontId="3" fillId="0" borderId="1" xfId="0" applyFont="1" applyBorder="1" applyAlignment="1">
      <alignment horizontal="left" vertical="center"/>
    </xf>
    <xf numFmtId="0" fontId="5" fillId="0" borderId="0" xfId="0" applyFont="1">
      <alignment vertical="center"/>
    </xf>
    <xf numFmtId="0" fontId="8" fillId="0" borderId="0" xfId="0" applyFont="1">
      <alignment vertical="center"/>
    </xf>
    <xf numFmtId="0" fontId="8" fillId="0" borderId="1" xfId="0" applyFont="1" applyBorder="1">
      <alignment vertical="center"/>
    </xf>
    <xf numFmtId="0" fontId="11" fillId="0" borderId="0" xfId="3" applyFont="1" applyAlignment="1">
      <alignment vertical="center"/>
    </xf>
    <xf numFmtId="0" fontId="11" fillId="0" borderId="0" xfId="3" applyFont="1" applyAlignment="1">
      <alignment vertical="center" wrapText="1"/>
    </xf>
    <xf numFmtId="0" fontId="10" fillId="0" borderId="0" xfId="3"/>
    <xf numFmtId="0" fontId="13" fillId="0" borderId="0" xfId="3" applyFont="1"/>
    <xf numFmtId="0" fontId="13" fillId="0" borderId="1" xfId="3" applyFont="1" applyBorder="1"/>
    <xf numFmtId="49" fontId="11" fillId="0" borderId="11" xfId="3" applyNumberFormat="1" applyFont="1" applyBorder="1" applyAlignment="1">
      <alignment vertical="center"/>
    </xf>
    <xf numFmtId="0" fontId="7" fillId="2" borderId="1" xfId="2" applyFont="1" applyBorder="1" applyAlignment="1">
      <alignment vertical="center" wrapText="1"/>
    </xf>
    <xf numFmtId="0" fontId="2" fillId="0" borderId="0" xfId="0" applyFont="1" applyAlignment="1">
      <alignment vertical="center" wrapText="1"/>
    </xf>
    <xf numFmtId="176" fontId="2" fillId="0" borderId="1" xfId="0" applyNumberFormat="1" applyFont="1" applyBorder="1" applyAlignment="1">
      <alignment vertical="center" wrapText="1"/>
    </xf>
    <xf numFmtId="0" fontId="2" fillId="3" borderId="1" xfId="0" applyFont="1" applyFill="1" applyBorder="1" applyAlignment="1">
      <alignment vertical="center" wrapText="1"/>
    </xf>
    <xf numFmtId="176" fontId="2" fillId="3" borderId="1" xfId="0" applyNumberFormat="1" applyFont="1" applyFill="1" applyBorder="1" applyAlignment="1">
      <alignment vertical="center" wrapText="1"/>
    </xf>
    <xf numFmtId="0" fontId="3" fillId="0" borderId="3" xfId="0" applyFont="1" applyBorder="1">
      <alignment vertical="center"/>
    </xf>
    <xf numFmtId="0" fontId="2" fillId="0" borderId="3" xfId="0" applyFont="1" applyBorder="1" applyAlignment="1">
      <alignment vertical="center" wrapText="1"/>
    </xf>
    <xf numFmtId="0" fontId="14" fillId="0" borderId="1" xfId="0" applyFont="1" applyBorder="1" applyAlignment="1">
      <alignment vertical="center" wrapText="1"/>
    </xf>
    <xf numFmtId="49" fontId="14" fillId="0" borderId="1" xfId="0" applyNumberFormat="1" applyFont="1" applyBorder="1" applyAlignment="1">
      <alignment vertical="center" wrapText="1"/>
    </xf>
    <xf numFmtId="177" fontId="8" fillId="0" borderId="1" xfId="0" applyNumberFormat="1" applyFont="1" applyBorder="1">
      <alignment vertical="center"/>
    </xf>
    <xf numFmtId="0" fontId="8" fillId="0" borderId="4" xfId="0" applyFont="1" applyBorder="1">
      <alignment vertical="center"/>
    </xf>
    <xf numFmtId="177" fontId="8" fillId="0" borderId="4" xfId="0" applyNumberFormat="1" applyFont="1" applyBorder="1">
      <alignment vertical="center"/>
    </xf>
    <xf numFmtId="0" fontId="8" fillId="0" borderId="22" xfId="0" applyFont="1" applyBorder="1">
      <alignment vertical="center"/>
    </xf>
    <xf numFmtId="177" fontId="8" fillId="0" borderId="22" xfId="0" applyNumberFormat="1" applyFont="1" applyBorder="1">
      <alignment vertical="center"/>
    </xf>
    <xf numFmtId="0" fontId="15" fillId="3" borderId="1" xfId="0" applyFont="1" applyFill="1" applyBorder="1">
      <alignment vertical="center"/>
    </xf>
    <xf numFmtId="0" fontId="3" fillId="0" borderId="22" xfId="0" applyFont="1" applyBorder="1" applyAlignment="1">
      <alignment horizontal="left" vertical="center"/>
    </xf>
    <xf numFmtId="0" fontId="2" fillId="0" borderId="22" xfId="0" applyFont="1" applyBorder="1" applyAlignment="1">
      <alignment horizontal="left" vertical="center"/>
    </xf>
    <xf numFmtId="49" fontId="3" fillId="0" borderId="4" xfId="0" applyNumberFormat="1" applyFont="1" applyBorder="1" applyAlignment="1">
      <alignment horizontal="left" vertical="center"/>
    </xf>
    <xf numFmtId="0" fontId="3" fillId="0" borderId="22" xfId="0" applyFont="1" applyBorder="1">
      <alignment vertical="center"/>
    </xf>
    <xf numFmtId="0" fontId="3" fillId="0" borderId="25" xfId="0" applyFont="1" applyBorder="1">
      <alignment vertical="center"/>
    </xf>
    <xf numFmtId="49" fontId="8" fillId="0" borderId="1" xfId="0" applyNumberFormat="1" applyFont="1" applyBorder="1">
      <alignment vertical="center"/>
    </xf>
    <xf numFmtId="176" fontId="14" fillId="0" borderId="1" xfId="0" applyNumberFormat="1" applyFont="1" applyBorder="1" applyAlignment="1">
      <alignment vertical="center" wrapText="1"/>
    </xf>
    <xf numFmtId="0" fontId="3" fillId="0" borderId="4" xfId="0" applyFont="1" applyBorder="1" applyAlignment="1">
      <alignment horizontal="left" vertical="center"/>
    </xf>
    <xf numFmtId="177" fontId="2" fillId="0" borderId="1" xfId="0" applyNumberFormat="1" applyFont="1" applyBorder="1" applyAlignment="1">
      <alignment horizontal="left" vertical="center" wrapText="1"/>
    </xf>
    <xf numFmtId="0" fontId="2" fillId="3" borderId="51" xfId="0" applyFont="1" applyFill="1" applyBorder="1" applyAlignment="1">
      <alignment vertical="center" wrapText="1"/>
    </xf>
    <xf numFmtId="0" fontId="2" fillId="3" borderId="25" xfId="0" applyFont="1" applyFill="1" applyBorder="1" applyAlignment="1">
      <alignment vertical="center" wrapText="1"/>
    </xf>
    <xf numFmtId="0" fontId="2" fillId="3" borderId="53" xfId="0" applyFont="1" applyFill="1" applyBorder="1" applyAlignment="1">
      <alignment vertical="center" wrapText="1"/>
    </xf>
    <xf numFmtId="0" fontId="3" fillId="0" borderId="25" xfId="0" applyFont="1" applyBorder="1" applyAlignment="1">
      <alignment horizontal="left" vertical="center"/>
    </xf>
    <xf numFmtId="0" fontId="2" fillId="0" borderId="25" xfId="0" applyFont="1" applyBorder="1" applyAlignment="1">
      <alignment horizontal="left" vertical="center"/>
    </xf>
    <xf numFmtId="49" fontId="2" fillId="0" borderId="25" xfId="0" applyNumberFormat="1" applyFont="1" applyBorder="1" applyAlignment="1">
      <alignment horizontal="left" vertical="center"/>
    </xf>
    <xf numFmtId="0" fontId="2" fillId="0" borderId="25" xfId="0" applyFont="1" applyBorder="1">
      <alignment vertical="center"/>
    </xf>
    <xf numFmtId="0" fontId="2" fillId="3" borderId="17" xfId="0" applyFont="1" applyFill="1" applyBorder="1" applyAlignment="1">
      <alignment vertical="center" wrapText="1"/>
    </xf>
    <xf numFmtId="49" fontId="3" fillId="0" borderId="0" xfId="0" applyNumberFormat="1" applyFont="1" applyAlignment="1">
      <alignment horizontal="left" vertical="center"/>
    </xf>
    <xf numFmtId="0" fontId="14" fillId="0" borderId="3" xfId="0" applyFont="1" applyBorder="1" applyAlignment="1">
      <alignment vertical="center" wrapText="1"/>
    </xf>
    <xf numFmtId="176" fontId="2" fillId="0" borderId="3" xfId="0" applyNumberFormat="1" applyFont="1" applyBorder="1" applyAlignment="1">
      <alignment vertical="center" wrapText="1"/>
    </xf>
    <xf numFmtId="0" fontId="14" fillId="0" borderId="4" xfId="0" applyFont="1" applyBorder="1" applyAlignment="1">
      <alignment vertical="center" wrapText="1"/>
    </xf>
    <xf numFmtId="0" fontId="3" fillId="0" borderId="2" xfId="0" applyFont="1" applyBorder="1" applyAlignment="1">
      <alignment horizontal="left" vertical="center"/>
    </xf>
    <xf numFmtId="0" fontId="7" fillId="2" borderId="22" xfId="2" applyFont="1" applyBorder="1" applyAlignment="1">
      <alignment vertical="center" wrapText="1"/>
    </xf>
    <xf numFmtId="0" fontId="2" fillId="0" borderId="35" xfId="0" applyFont="1" applyBorder="1" applyAlignment="1">
      <alignment vertical="center" wrapText="1"/>
    </xf>
    <xf numFmtId="0" fontId="16" fillId="0" borderId="52" xfId="3" applyFont="1" applyBorder="1" applyAlignment="1">
      <alignment vertical="center" wrapText="1"/>
    </xf>
    <xf numFmtId="0" fontId="16" fillId="0" borderId="1" xfId="3" applyFont="1" applyBorder="1" applyAlignment="1">
      <alignment vertical="center" wrapText="1"/>
    </xf>
    <xf numFmtId="49" fontId="2" fillId="0" borderId="4" xfId="0" applyNumberFormat="1" applyFont="1" applyBorder="1" applyAlignment="1">
      <alignment horizontal="left" vertical="center" wrapText="1"/>
    </xf>
    <xf numFmtId="49" fontId="3" fillId="0" borderId="1" xfId="0" applyNumberFormat="1" applyFont="1" applyBorder="1" applyAlignment="1">
      <alignment vertical="center" wrapText="1"/>
    </xf>
    <xf numFmtId="0" fontId="2" fillId="0" borderId="2" xfId="0" applyFont="1" applyBorder="1" applyAlignment="1">
      <alignment vertical="center" wrapText="1"/>
    </xf>
    <xf numFmtId="0" fontId="3" fillId="0" borderId="54" xfId="0" applyFont="1" applyBorder="1" applyAlignment="1">
      <alignment horizontal="left" vertical="center"/>
    </xf>
    <xf numFmtId="0" fontId="3" fillId="0" borderId="18" xfId="0" applyFont="1" applyBorder="1" applyAlignment="1">
      <alignment horizontal="left" vertical="center"/>
    </xf>
    <xf numFmtId="0" fontId="16" fillId="0" borderId="3" xfId="3" applyFont="1" applyBorder="1" applyAlignment="1">
      <alignment vertical="center" wrapText="1"/>
    </xf>
    <xf numFmtId="0" fontId="2" fillId="0" borderId="21" xfId="0" applyFont="1" applyBorder="1" applyAlignment="1">
      <alignment vertical="center" wrapText="1"/>
    </xf>
    <xf numFmtId="0" fontId="15" fillId="0" borderId="1" xfId="0" applyFont="1" applyBorder="1">
      <alignment vertical="center"/>
    </xf>
    <xf numFmtId="178" fontId="15" fillId="0" borderId="1" xfId="0" applyNumberFormat="1" applyFont="1" applyBorder="1">
      <alignment vertical="center"/>
    </xf>
    <xf numFmtId="0" fontId="14" fillId="0" borderId="4" xfId="3" applyFont="1" applyBorder="1" applyAlignment="1">
      <alignment vertical="center"/>
    </xf>
    <xf numFmtId="0" fontId="14" fillId="0" borderId="2" xfId="0" applyFont="1" applyBorder="1" applyAlignment="1">
      <alignment vertical="center" wrapText="1"/>
    </xf>
    <xf numFmtId="0" fontId="14" fillId="0" borderId="5" xfId="0" applyFont="1" applyBorder="1" applyAlignment="1">
      <alignment vertical="center" wrapText="1"/>
    </xf>
    <xf numFmtId="0" fontId="14" fillId="0" borderId="1" xfId="3" applyFont="1" applyBorder="1" applyAlignment="1">
      <alignment vertical="center" wrapText="1"/>
    </xf>
    <xf numFmtId="0" fontId="14" fillId="0" borderId="12" xfId="3" applyFont="1" applyBorder="1" applyAlignment="1">
      <alignment vertical="center" wrapText="1"/>
    </xf>
    <xf numFmtId="0" fontId="14" fillId="0" borderId="3" xfId="3" applyFont="1" applyBorder="1" applyAlignment="1">
      <alignment vertical="center" wrapText="1"/>
    </xf>
    <xf numFmtId="0" fontId="14" fillId="0" borderId="15" xfId="3" applyFont="1" applyBorder="1" applyAlignment="1">
      <alignment vertical="center" wrapText="1"/>
    </xf>
    <xf numFmtId="0" fontId="14" fillId="0" borderId="1" xfId="3" applyFont="1" applyBorder="1" applyAlignment="1">
      <alignment vertical="center"/>
    </xf>
    <xf numFmtId="0" fontId="14" fillId="0" borderId="16" xfId="3" applyFont="1" applyBorder="1" applyAlignment="1">
      <alignment vertical="center" wrapText="1"/>
    </xf>
    <xf numFmtId="49" fontId="14" fillId="0" borderId="17" xfId="3" applyNumberFormat="1" applyFont="1" applyBorder="1" applyAlignment="1">
      <alignment vertical="center"/>
    </xf>
    <xf numFmtId="0" fontId="14" fillId="5" borderId="1" xfId="3" applyFont="1" applyFill="1" applyBorder="1" applyAlignment="1">
      <alignment vertical="center"/>
    </xf>
    <xf numFmtId="0" fontId="14" fillId="0" borderId="3" xfId="3" applyFont="1" applyBorder="1" applyAlignment="1">
      <alignment vertical="center"/>
    </xf>
    <xf numFmtId="0" fontId="14" fillId="0" borderId="16" xfId="3" applyFont="1" applyBorder="1" applyAlignment="1">
      <alignment vertical="center"/>
    </xf>
    <xf numFmtId="0" fontId="14" fillId="0" borderId="4" xfId="3" applyFont="1" applyBorder="1" applyAlignment="1">
      <alignment vertical="center" wrapText="1"/>
    </xf>
    <xf numFmtId="0" fontId="13" fillId="0" borderId="4" xfId="3" applyFont="1" applyBorder="1"/>
    <xf numFmtId="0" fontId="14" fillId="0" borderId="2" xfId="3" applyFont="1" applyBorder="1" applyAlignment="1">
      <alignment vertical="center"/>
    </xf>
    <xf numFmtId="0" fontId="14" fillId="0" borderId="5" xfId="3" applyFont="1" applyBorder="1" applyAlignment="1">
      <alignment vertical="center"/>
    </xf>
    <xf numFmtId="0" fontId="14" fillId="0" borderId="5" xfId="3" applyFont="1" applyBorder="1" applyAlignment="1">
      <alignment vertical="center" wrapText="1"/>
    </xf>
    <xf numFmtId="0" fontId="14" fillId="0" borderId="49" xfId="3" applyFont="1" applyBorder="1" applyAlignment="1">
      <alignment vertical="center"/>
    </xf>
    <xf numFmtId="0" fontId="14" fillId="0" borderId="19" xfId="3" applyFont="1" applyBorder="1" applyAlignment="1">
      <alignment vertical="center" wrapText="1"/>
    </xf>
    <xf numFmtId="0" fontId="14" fillId="0" borderId="17" xfId="3" applyFont="1" applyBorder="1" applyAlignment="1">
      <alignment vertical="center"/>
    </xf>
    <xf numFmtId="0" fontId="14" fillId="0" borderId="22" xfId="3" applyFont="1" applyBorder="1" applyAlignment="1">
      <alignment vertical="center"/>
    </xf>
    <xf numFmtId="49" fontId="14" fillId="0" borderId="25" xfId="3" applyNumberFormat="1" applyFont="1" applyBorder="1" applyAlignment="1">
      <alignment vertical="center"/>
    </xf>
    <xf numFmtId="0" fontId="14" fillId="0" borderId="25" xfId="3" applyFont="1" applyBorder="1" applyAlignment="1">
      <alignment vertical="center" wrapText="1"/>
    </xf>
    <xf numFmtId="0" fontId="14" fillId="0" borderId="25" xfId="3" applyFont="1" applyBorder="1" applyAlignment="1">
      <alignment vertical="center"/>
    </xf>
    <xf numFmtId="0" fontId="13" fillId="0" borderId="27" xfId="3" applyFont="1" applyBorder="1"/>
    <xf numFmtId="0" fontId="14" fillId="0" borderId="10" xfId="3" applyFont="1" applyBorder="1" applyAlignment="1">
      <alignment vertical="center"/>
    </xf>
    <xf numFmtId="0" fontId="14" fillId="0" borderId="10" xfId="3" applyFont="1" applyBorder="1" applyAlignment="1">
      <alignment vertical="center" wrapText="1"/>
    </xf>
    <xf numFmtId="0" fontId="13" fillId="0" borderId="10" xfId="3" applyFont="1" applyBorder="1"/>
    <xf numFmtId="0" fontId="14" fillId="0" borderId="7" xfId="3" applyFont="1" applyBorder="1" applyAlignment="1">
      <alignment vertical="center"/>
    </xf>
    <xf numFmtId="0" fontId="14" fillId="0" borderId="7" xfId="3" applyFont="1" applyBorder="1" applyAlignment="1">
      <alignment vertical="center" wrapText="1"/>
    </xf>
    <xf numFmtId="0" fontId="14" fillId="0" borderId="2" xfId="3" applyFont="1" applyBorder="1" applyAlignment="1">
      <alignment vertical="center" wrapText="1"/>
    </xf>
    <xf numFmtId="0" fontId="13" fillId="0" borderId="2" xfId="3" applyFont="1" applyBorder="1"/>
    <xf numFmtId="0" fontId="13" fillId="0" borderId="16" xfId="3" applyFont="1" applyBorder="1"/>
    <xf numFmtId="0" fontId="14" fillId="0" borderId="29" xfId="3" applyFont="1" applyBorder="1" applyAlignment="1">
      <alignment vertical="center"/>
    </xf>
    <xf numFmtId="0" fontId="14" fillId="0" borderId="0" xfId="3" applyFont="1" applyAlignment="1">
      <alignment vertical="center"/>
    </xf>
    <xf numFmtId="0" fontId="14" fillId="0" borderId="0" xfId="3" applyFont="1" applyAlignment="1">
      <alignment vertical="center" wrapText="1"/>
    </xf>
    <xf numFmtId="0" fontId="14" fillId="0" borderId="23" xfId="3" applyFont="1" applyBorder="1" applyAlignment="1">
      <alignment vertical="center" wrapText="1"/>
    </xf>
    <xf numFmtId="0" fontId="14" fillId="0" borderId="17" xfId="3" applyFont="1" applyBorder="1" applyAlignment="1">
      <alignment vertical="center" wrapText="1"/>
    </xf>
    <xf numFmtId="0" fontId="13" fillId="0" borderId="22" xfId="3" applyFont="1" applyBorder="1"/>
    <xf numFmtId="0" fontId="14" fillId="0" borderId="22" xfId="3" applyFont="1" applyBorder="1" applyAlignment="1">
      <alignment vertical="center" wrapText="1"/>
    </xf>
    <xf numFmtId="0" fontId="13" fillId="0" borderId="3" xfId="3" applyFont="1" applyBorder="1"/>
    <xf numFmtId="0" fontId="14" fillId="0" borderId="40" xfId="3" applyFont="1" applyBorder="1" applyAlignment="1">
      <alignment vertical="center"/>
    </xf>
    <xf numFmtId="0" fontId="14" fillId="0" borderId="40" xfId="3" applyFont="1" applyBorder="1" applyAlignment="1">
      <alignment vertical="center" wrapText="1"/>
    </xf>
    <xf numFmtId="0" fontId="13" fillId="0" borderId="41" xfId="3" applyFont="1" applyBorder="1"/>
    <xf numFmtId="49" fontId="14" fillId="0" borderId="42" xfId="3" applyNumberFormat="1" applyFont="1" applyBorder="1" applyAlignment="1">
      <alignment vertical="center"/>
    </xf>
    <xf numFmtId="0" fontId="14" fillId="0" borderId="44" xfId="3" applyFont="1" applyBorder="1" applyAlignment="1">
      <alignment vertical="center"/>
    </xf>
    <xf numFmtId="0" fontId="14" fillId="0" borderId="45" xfId="3" applyFont="1" applyBorder="1" applyAlignment="1">
      <alignment vertical="center"/>
    </xf>
    <xf numFmtId="0" fontId="14" fillId="0" borderId="43" xfId="3" applyFont="1" applyBorder="1" applyAlignment="1">
      <alignment vertical="center"/>
    </xf>
    <xf numFmtId="0" fontId="14" fillId="0" borderId="43" xfId="3" applyFont="1" applyBorder="1" applyAlignment="1">
      <alignment vertical="center" wrapText="1"/>
    </xf>
    <xf numFmtId="0" fontId="13" fillId="0" borderId="46" xfId="3" applyFont="1" applyBorder="1"/>
    <xf numFmtId="0" fontId="14" fillId="0" borderId="47" xfId="3" applyFont="1" applyBorder="1" applyAlignment="1">
      <alignment vertical="center"/>
    </xf>
    <xf numFmtId="0" fontId="14" fillId="0" borderId="48" xfId="3" applyFont="1" applyBorder="1" applyAlignment="1">
      <alignment vertical="center"/>
    </xf>
    <xf numFmtId="0" fontId="13" fillId="0" borderId="25" xfId="3" applyFont="1" applyBorder="1"/>
    <xf numFmtId="20" fontId="14" fillId="0" borderId="15" xfId="3" applyNumberFormat="1" applyFont="1" applyBorder="1" applyAlignment="1">
      <alignment vertical="center" wrapText="1"/>
    </xf>
    <xf numFmtId="0" fontId="7" fillId="2" borderId="3" xfId="2" applyFont="1" applyBorder="1" applyAlignment="1">
      <alignment vertical="center" wrapText="1"/>
    </xf>
    <xf numFmtId="0" fontId="14" fillId="5" borderId="1" xfId="3" applyFont="1" applyFill="1" applyBorder="1" applyAlignment="1">
      <alignment vertical="center" wrapText="1"/>
    </xf>
    <xf numFmtId="0" fontId="14" fillId="0" borderId="1" xfId="3" applyFont="1" applyBorder="1" applyAlignment="1">
      <alignment wrapText="1"/>
    </xf>
    <xf numFmtId="49" fontId="14" fillId="0" borderId="24" xfId="3" applyNumberFormat="1" applyFont="1" applyBorder="1" applyAlignment="1">
      <alignment vertical="center"/>
    </xf>
    <xf numFmtId="0" fontId="14" fillId="0" borderId="27" xfId="3" applyFont="1" applyBorder="1" applyAlignment="1">
      <alignment vertical="center" wrapText="1"/>
    </xf>
    <xf numFmtId="0" fontId="14" fillId="0" borderId="55" xfId="3" applyFont="1" applyBorder="1" applyAlignment="1">
      <alignment vertical="center" wrapText="1"/>
    </xf>
    <xf numFmtId="0" fontId="13" fillId="5" borderId="0" xfId="3" applyFont="1" applyFill="1"/>
    <xf numFmtId="0" fontId="14" fillId="0" borderId="4" xfId="3" applyFont="1" applyBorder="1"/>
    <xf numFmtId="0" fontId="5" fillId="0" borderId="1" xfId="0" applyFont="1" applyBorder="1">
      <alignment vertical="center"/>
    </xf>
    <xf numFmtId="0" fontId="5" fillId="0" borderId="1" xfId="0" applyFont="1" applyBorder="1" applyAlignment="1">
      <alignment vertical="center" wrapText="1"/>
    </xf>
    <xf numFmtId="0" fontId="19" fillId="11" borderId="0" xfId="0" applyFont="1" applyFill="1">
      <alignment vertical="center"/>
    </xf>
    <xf numFmtId="0" fontId="19" fillId="11" borderId="4" xfId="0" applyFont="1" applyFill="1" applyBorder="1">
      <alignment vertical="center"/>
    </xf>
    <xf numFmtId="0" fontId="19" fillId="11" borderId="20" xfId="0" applyFont="1" applyFill="1" applyBorder="1">
      <alignment vertical="center"/>
    </xf>
    <xf numFmtId="0" fontId="18" fillId="12" borderId="1" xfId="0" applyFont="1" applyFill="1" applyBorder="1" applyAlignment="1">
      <alignment vertical="center" wrapText="1"/>
    </xf>
    <xf numFmtId="0" fontId="18" fillId="12" borderId="14" xfId="0" applyFont="1" applyFill="1" applyBorder="1" applyAlignment="1">
      <alignment vertical="center" wrapText="1"/>
    </xf>
    <xf numFmtId="0" fontId="18" fillId="12" borderId="20" xfId="0" applyFont="1" applyFill="1" applyBorder="1" applyAlignment="1">
      <alignment vertical="center" wrapText="1"/>
    </xf>
    <xf numFmtId="0" fontId="18" fillId="12" borderId="20" xfId="0" applyFont="1" applyFill="1" applyBorder="1">
      <alignment vertical="center"/>
    </xf>
    <xf numFmtId="0" fontId="18" fillId="0" borderId="20" xfId="0" applyFont="1" applyBorder="1" applyAlignment="1">
      <alignment vertical="center" wrapText="1"/>
    </xf>
    <xf numFmtId="0" fontId="18" fillId="7" borderId="4" xfId="0" applyFont="1" applyFill="1" applyBorder="1" applyAlignment="1">
      <alignment vertical="center" wrapText="1"/>
    </xf>
    <xf numFmtId="0" fontId="18" fillId="0" borderId="50" xfId="0" applyFont="1" applyBorder="1" applyAlignment="1">
      <alignment vertical="center" wrapText="1"/>
    </xf>
    <xf numFmtId="0" fontId="20" fillId="0" borderId="31" xfId="0" applyFont="1" applyBorder="1">
      <alignment vertical="center"/>
    </xf>
    <xf numFmtId="0" fontId="20" fillId="0" borderId="9" xfId="0" applyFont="1" applyBorder="1">
      <alignment vertical="center"/>
    </xf>
    <xf numFmtId="0" fontId="20" fillId="0" borderId="60" xfId="0" applyFont="1" applyBorder="1">
      <alignment vertical="center"/>
    </xf>
    <xf numFmtId="0" fontId="18" fillId="0" borderId="31" xfId="0" applyFont="1" applyBorder="1" applyAlignment="1">
      <alignment vertical="center" wrapText="1"/>
    </xf>
    <xf numFmtId="0" fontId="18" fillId="0" borderId="32" xfId="0" applyFont="1" applyBorder="1" applyAlignment="1">
      <alignment vertical="center" wrapText="1"/>
    </xf>
    <xf numFmtId="0" fontId="20" fillId="0" borderId="21" xfId="0" applyFont="1" applyBorder="1" applyAlignment="1">
      <alignment vertical="center" wrapText="1"/>
    </xf>
    <xf numFmtId="0" fontId="20" fillId="0" borderId="6" xfId="0" applyFont="1" applyBorder="1">
      <alignment vertical="center"/>
    </xf>
    <xf numFmtId="0" fontId="18" fillId="0" borderId="57" xfId="0" applyFont="1" applyBorder="1" applyAlignment="1">
      <alignment vertical="center" wrapText="1"/>
    </xf>
    <xf numFmtId="0" fontId="18" fillId="0" borderId="5" xfId="0" applyFont="1" applyBorder="1" applyAlignment="1">
      <alignment vertical="center" wrapText="1"/>
    </xf>
    <xf numFmtId="0" fontId="20" fillId="0" borderId="20" xfId="0" applyFont="1" applyBorder="1" applyAlignment="1">
      <alignment vertical="center" wrapText="1"/>
    </xf>
    <xf numFmtId="0" fontId="20" fillId="0" borderId="5" xfId="0" applyFont="1" applyBorder="1">
      <alignment vertical="center"/>
    </xf>
    <xf numFmtId="0" fontId="20" fillId="0" borderId="0" xfId="0" applyFont="1">
      <alignment vertical="center"/>
    </xf>
    <xf numFmtId="0" fontId="18" fillId="8" borderId="4" xfId="0" applyFont="1" applyFill="1" applyBorder="1" applyAlignment="1">
      <alignment vertical="center" wrapText="1"/>
    </xf>
    <xf numFmtId="0" fontId="20" fillId="0" borderId="7" xfId="0" applyFont="1" applyBorder="1">
      <alignment vertical="center"/>
    </xf>
    <xf numFmtId="0" fontId="18" fillId="0" borderId="4" xfId="0" applyFont="1" applyBorder="1" applyAlignment="1">
      <alignment vertical="center" wrapText="1"/>
    </xf>
    <xf numFmtId="0" fontId="18" fillId="0" borderId="6" xfId="0" applyFont="1" applyBorder="1" applyAlignment="1">
      <alignment vertical="center" wrapText="1"/>
    </xf>
    <xf numFmtId="0" fontId="18" fillId="0" borderId="9" xfId="0" applyFont="1" applyBorder="1" applyAlignment="1">
      <alignment vertical="center" wrapText="1"/>
    </xf>
    <xf numFmtId="0" fontId="18" fillId="13" borderId="20" xfId="0" applyFont="1" applyFill="1" applyBorder="1" applyAlignment="1">
      <alignment vertical="center" wrapText="1"/>
    </xf>
    <xf numFmtId="0" fontId="18" fillId="13" borderId="57" xfId="0" applyFont="1" applyFill="1" applyBorder="1" applyAlignment="1">
      <alignment vertical="center" wrapText="1"/>
    </xf>
    <xf numFmtId="0" fontId="18" fillId="13" borderId="6" xfId="0" applyFont="1" applyFill="1" applyBorder="1" applyAlignment="1">
      <alignment vertical="center" wrapText="1"/>
    </xf>
    <xf numFmtId="0" fontId="20" fillId="0" borderId="1" xfId="0" applyFont="1" applyBorder="1">
      <alignment vertical="center"/>
    </xf>
    <xf numFmtId="0" fontId="18" fillId="8" borderId="49" xfId="0" applyFont="1" applyFill="1" applyBorder="1" applyAlignment="1">
      <alignment vertical="center" wrapText="1"/>
    </xf>
    <xf numFmtId="0" fontId="18" fillId="8" borderId="6" xfId="0" applyFont="1" applyFill="1" applyBorder="1" applyAlignment="1">
      <alignment vertical="center" wrapText="1"/>
    </xf>
    <xf numFmtId="0" fontId="18" fillId="8" borderId="7" xfId="0" applyFont="1" applyFill="1" applyBorder="1" applyAlignment="1">
      <alignment vertical="center" wrapText="1"/>
    </xf>
    <xf numFmtId="0" fontId="20" fillId="0" borderId="32" xfId="0" applyFont="1" applyBorder="1" applyAlignment="1">
      <alignment vertical="center" wrapText="1"/>
    </xf>
    <xf numFmtId="0" fontId="18" fillId="8" borderId="8" xfId="0" applyFont="1" applyFill="1" applyBorder="1" applyAlignment="1">
      <alignment vertical="center" wrapText="1"/>
    </xf>
    <xf numFmtId="0" fontId="20" fillId="0" borderId="59" xfId="0" applyFont="1" applyBorder="1" applyAlignment="1">
      <alignment vertical="center" wrapText="1"/>
    </xf>
    <xf numFmtId="0" fontId="18" fillId="0" borderId="59" xfId="0" applyFont="1" applyBorder="1" applyAlignment="1">
      <alignment vertical="center" wrapText="1"/>
    </xf>
    <xf numFmtId="0" fontId="19" fillId="11" borderId="57" xfId="0" applyFont="1" applyFill="1" applyBorder="1">
      <alignment vertical="center"/>
    </xf>
    <xf numFmtId="0" fontId="20" fillId="11" borderId="5" xfId="0" applyFont="1" applyFill="1" applyBorder="1">
      <alignment vertical="center"/>
    </xf>
    <xf numFmtId="0" fontId="17" fillId="0" borderId="0" xfId="0" applyFont="1">
      <alignment vertical="center"/>
    </xf>
    <xf numFmtId="0" fontId="17" fillId="6" borderId="0" xfId="0" applyFont="1" applyFill="1">
      <alignment vertical="center"/>
    </xf>
    <xf numFmtId="0" fontId="20" fillId="12" borderId="5" xfId="0" applyFont="1" applyFill="1" applyBorder="1">
      <alignment vertical="center"/>
    </xf>
    <xf numFmtId="0" fontId="18" fillId="9" borderId="4" xfId="0" applyFont="1" applyFill="1" applyBorder="1" applyAlignment="1">
      <alignment vertical="center" wrapText="1"/>
    </xf>
    <xf numFmtId="0" fontId="20" fillId="8" borderId="4" xfId="0" applyFont="1" applyFill="1" applyBorder="1">
      <alignment vertical="center"/>
    </xf>
    <xf numFmtId="0" fontId="21" fillId="0" borderId="57" xfId="0" applyFont="1" applyBorder="1">
      <alignment vertical="center"/>
    </xf>
    <xf numFmtId="0" fontId="18" fillId="0" borderId="56" xfId="0" applyFont="1" applyBorder="1" applyAlignment="1">
      <alignment vertical="center" wrapText="1"/>
    </xf>
    <xf numFmtId="0" fontId="18" fillId="8" borderId="17" xfId="0" applyFont="1" applyFill="1" applyBorder="1" applyAlignment="1">
      <alignment vertical="center" wrapText="1"/>
    </xf>
    <xf numFmtId="0" fontId="20" fillId="0" borderId="26" xfId="0" applyFont="1" applyBorder="1">
      <alignment vertical="center"/>
    </xf>
    <xf numFmtId="0" fontId="20" fillId="0" borderId="63" xfId="0" applyFont="1" applyBorder="1">
      <alignment vertical="center"/>
    </xf>
    <xf numFmtId="0" fontId="18" fillId="10" borderId="4" xfId="0" applyFont="1" applyFill="1" applyBorder="1" applyAlignment="1">
      <alignment vertical="center" wrapText="1"/>
    </xf>
    <xf numFmtId="0" fontId="5" fillId="0" borderId="4" xfId="0" applyFont="1" applyBorder="1">
      <alignment vertical="center"/>
    </xf>
    <xf numFmtId="0" fontId="18" fillId="12" borderId="57" xfId="0" applyFont="1" applyFill="1" applyBorder="1">
      <alignment vertical="center"/>
    </xf>
    <xf numFmtId="0" fontId="18" fillId="0" borderId="58" xfId="0" applyFont="1" applyBorder="1" applyAlignment="1">
      <alignment vertical="center" wrapText="1"/>
    </xf>
    <xf numFmtId="0" fontId="18" fillId="0" borderId="0" xfId="0" applyFont="1" applyAlignment="1">
      <alignment vertical="center" wrapText="1"/>
    </xf>
    <xf numFmtId="0" fontId="18" fillId="0" borderId="64" xfId="0" applyFont="1" applyBorder="1" applyAlignment="1">
      <alignment vertical="center" wrapText="1"/>
    </xf>
    <xf numFmtId="0" fontId="20" fillId="11" borderId="1" xfId="0" applyFont="1" applyFill="1" applyBorder="1">
      <alignment vertical="center"/>
    </xf>
    <xf numFmtId="0" fontId="20" fillId="12" borderId="1" xfId="0" applyFont="1" applyFill="1" applyBorder="1">
      <alignment vertical="center"/>
    </xf>
    <xf numFmtId="0" fontId="18" fillId="14" borderId="20" xfId="0" applyFont="1" applyFill="1" applyBorder="1" applyAlignment="1">
      <alignment vertical="center" wrapText="1"/>
    </xf>
    <xf numFmtId="0" fontId="18" fillId="14" borderId="31" xfId="0" applyFont="1" applyFill="1" applyBorder="1" applyAlignment="1">
      <alignment vertical="center" wrapText="1"/>
    </xf>
    <xf numFmtId="0" fontId="18" fillId="14" borderId="9" xfId="0" applyFont="1" applyFill="1" applyBorder="1" applyAlignment="1">
      <alignment vertical="center" wrapText="1"/>
    </xf>
    <xf numFmtId="0" fontId="20" fillId="11" borderId="47" xfId="0" applyFont="1" applyFill="1" applyBorder="1">
      <alignment vertical="center"/>
    </xf>
    <xf numFmtId="0" fontId="20" fillId="12" borderId="47" xfId="0" applyFont="1" applyFill="1" applyBorder="1">
      <alignment vertical="center"/>
    </xf>
    <xf numFmtId="0" fontId="20" fillId="0" borderId="28" xfId="0" applyFont="1" applyBorder="1">
      <alignment vertical="center"/>
    </xf>
    <xf numFmtId="0" fontId="20" fillId="13" borderId="28" xfId="0" applyFont="1" applyFill="1" applyBorder="1">
      <alignment vertical="center"/>
    </xf>
    <xf numFmtId="0" fontId="20" fillId="0" borderId="33" xfId="0" applyFont="1" applyBorder="1">
      <alignment vertical="center"/>
    </xf>
    <xf numFmtId="0" fontId="20" fillId="0" borderId="47" xfId="0" applyFont="1" applyBorder="1">
      <alignment vertical="center"/>
    </xf>
    <xf numFmtId="0" fontId="20" fillId="0" borderId="65" xfId="0" applyFont="1" applyBorder="1">
      <alignment vertical="center"/>
    </xf>
    <xf numFmtId="0" fontId="20" fillId="0" borderId="66" xfId="0" applyFont="1" applyBorder="1">
      <alignment vertical="center"/>
    </xf>
    <xf numFmtId="0" fontId="20" fillId="0" borderId="67" xfId="0" applyFont="1" applyBorder="1">
      <alignment vertical="center"/>
    </xf>
    <xf numFmtId="0" fontId="18" fillId="0" borderId="1" xfId="0" applyFont="1" applyBorder="1">
      <alignment vertical="center"/>
    </xf>
    <xf numFmtId="0" fontId="18" fillId="15" borderId="20" xfId="0" applyFont="1" applyFill="1" applyBorder="1" applyAlignment="1">
      <alignment vertical="center" wrapText="1"/>
    </xf>
    <xf numFmtId="0" fontId="18" fillId="15" borderId="31" xfId="0" applyFont="1" applyFill="1" applyBorder="1" applyAlignment="1">
      <alignment vertical="center" wrapText="1"/>
    </xf>
    <xf numFmtId="0" fontId="20" fillId="15" borderId="57" xfId="0" applyFont="1" applyFill="1" applyBorder="1">
      <alignment vertical="center"/>
    </xf>
    <xf numFmtId="0" fontId="20" fillId="15" borderId="6" xfId="0" applyFont="1" applyFill="1" applyBorder="1">
      <alignment vertical="center"/>
    </xf>
    <xf numFmtId="0" fontId="18" fillId="15" borderId="57" xfId="0" applyFont="1" applyFill="1" applyBorder="1" applyAlignment="1">
      <alignment vertical="center" wrapText="1"/>
    </xf>
    <xf numFmtId="0" fontId="18" fillId="15" borderId="6" xfId="0" applyFont="1" applyFill="1" applyBorder="1" applyAlignment="1">
      <alignment vertical="center" wrapText="1"/>
    </xf>
    <xf numFmtId="0" fontId="18" fillId="15" borderId="5" xfId="0" applyFont="1" applyFill="1" applyBorder="1" applyAlignment="1">
      <alignment vertical="center" wrapText="1"/>
    </xf>
    <xf numFmtId="0" fontId="18" fillId="15" borderId="13" xfId="0" applyFont="1" applyFill="1" applyBorder="1" applyAlignment="1">
      <alignment vertical="center" wrapText="1"/>
    </xf>
    <xf numFmtId="0" fontId="22" fillId="15" borderId="20" xfId="0" applyFont="1" applyFill="1" applyBorder="1" applyAlignment="1">
      <alignment vertical="center" wrapText="1"/>
    </xf>
    <xf numFmtId="0" fontId="18" fillId="0" borderId="68" xfId="0" applyFont="1" applyBorder="1" applyAlignment="1">
      <alignment vertical="center" wrapText="1"/>
    </xf>
    <xf numFmtId="0" fontId="18" fillId="14" borderId="61" xfId="0" applyFont="1" applyFill="1" applyBorder="1" applyAlignment="1">
      <alignment vertical="center" wrapText="1"/>
    </xf>
    <xf numFmtId="0" fontId="18" fillId="14" borderId="62" xfId="0" applyFont="1" applyFill="1" applyBorder="1" applyAlignment="1">
      <alignment vertical="center" wrapText="1"/>
    </xf>
    <xf numFmtId="0" fontId="18" fillId="15" borderId="39" xfId="0" applyFont="1" applyFill="1" applyBorder="1" applyAlignment="1">
      <alignment vertical="center" wrapText="1"/>
    </xf>
    <xf numFmtId="0" fontId="18" fillId="15" borderId="35" xfId="0" applyFont="1" applyFill="1" applyBorder="1" applyAlignment="1">
      <alignment vertical="center" wrapText="1"/>
    </xf>
    <xf numFmtId="0" fontId="18" fillId="0" borderId="52" xfId="0" applyFont="1" applyBorder="1" applyAlignment="1">
      <alignment vertical="center" wrapText="1"/>
    </xf>
    <xf numFmtId="0" fontId="18" fillId="15" borderId="17" xfId="0" applyFont="1" applyFill="1" applyBorder="1" applyAlignment="1">
      <alignment vertical="center" wrapText="1"/>
    </xf>
    <xf numFmtId="0" fontId="5" fillId="0" borderId="20" xfId="0" applyFont="1" applyBorder="1">
      <alignment vertical="center"/>
    </xf>
    <xf numFmtId="0" fontId="2" fillId="0" borderId="0" xfId="0" applyFont="1">
      <alignment vertical="center"/>
    </xf>
    <xf numFmtId="0" fontId="2" fillId="0" borderId="57" xfId="0" applyFont="1" applyBorder="1">
      <alignment vertical="center"/>
    </xf>
    <xf numFmtId="49" fontId="3" fillId="0" borderId="1" xfId="0" applyNumberFormat="1" applyFont="1" applyBorder="1">
      <alignment vertical="center"/>
    </xf>
    <xf numFmtId="0" fontId="23" fillId="0" borderId="3" xfId="0" applyFont="1" applyBorder="1" applyAlignment="1">
      <alignment vertical="center" wrapText="1"/>
    </xf>
    <xf numFmtId="0" fontId="8" fillId="0" borderId="3" xfId="0" applyFont="1" applyBorder="1">
      <alignment vertical="center"/>
    </xf>
    <xf numFmtId="0" fontId="26" fillId="0" borderId="4" xfId="3" applyFont="1" applyBorder="1" applyAlignment="1">
      <alignment vertical="center"/>
    </xf>
    <xf numFmtId="0" fontId="26" fillId="0" borderId="1" xfId="3" applyFont="1" applyBorder="1" applyAlignment="1">
      <alignment vertical="center"/>
    </xf>
    <xf numFmtId="0" fontId="28" fillId="0" borderId="20" xfId="0" applyFont="1" applyBorder="1" applyAlignment="1">
      <alignment vertical="center" wrapText="1"/>
    </xf>
    <xf numFmtId="0" fontId="29" fillId="0" borderId="20" xfId="0" applyFont="1" applyBorder="1" applyAlignment="1">
      <alignment vertical="center" wrapText="1"/>
    </xf>
    <xf numFmtId="0" fontId="26" fillId="0" borderId="7" xfId="3" applyFont="1" applyBorder="1" applyAlignment="1">
      <alignment vertical="center"/>
    </xf>
    <xf numFmtId="0" fontId="26" fillId="0" borderId="16" xfId="3" applyFont="1" applyBorder="1" applyAlignment="1">
      <alignment vertical="center"/>
    </xf>
    <xf numFmtId="0" fontId="26" fillId="0" borderId="23" xfId="3" applyFont="1" applyBorder="1" applyAlignment="1">
      <alignment vertical="center"/>
    </xf>
    <xf numFmtId="0" fontId="29" fillId="0" borderId="57" xfId="0" applyFont="1" applyBorder="1" applyAlignment="1">
      <alignment vertical="center" wrapText="1"/>
    </xf>
    <xf numFmtId="49" fontId="3" fillId="0" borderId="4" xfId="0" applyNumberFormat="1" applyFont="1" applyBorder="1">
      <alignment vertical="center"/>
    </xf>
    <xf numFmtId="49" fontId="3" fillId="0" borderId="69" xfId="0" applyNumberFormat="1" applyFont="1" applyBorder="1">
      <alignment vertical="center"/>
    </xf>
    <xf numFmtId="49" fontId="3" fillId="0" borderId="52" xfId="0" applyNumberFormat="1" applyFont="1" applyBorder="1">
      <alignment vertical="center"/>
    </xf>
    <xf numFmtId="49" fontId="3" fillId="0" borderId="70" xfId="0" applyNumberFormat="1" applyFont="1" applyBorder="1" applyAlignment="1">
      <alignment vertical="center" wrapText="1"/>
    </xf>
    <xf numFmtId="49" fontId="3" fillId="0" borderId="71" xfId="0" applyNumberFormat="1" applyFont="1" applyBorder="1">
      <alignment vertical="center"/>
    </xf>
    <xf numFmtId="49" fontId="3" fillId="0" borderId="72" xfId="0" applyNumberFormat="1" applyFont="1" applyBorder="1">
      <alignment vertical="center"/>
    </xf>
    <xf numFmtId="49" fontId="3" fillId="0" borderId="73" xfId="0" applyNumberFormat="1" applyFont="1" applyBorder="1">
      <alignment vertical="center"/>
    </xf>
    <xf numFmtId="49" fontId="3" fillId="0" borderId="22" xfId="0" applyNumberFormat="1" applyFont="1" applyBorder="1">
      <alignment vertical="center"/>
    </xf>
    <xf numFmtId="49" fontId="3" fillId="0" borderId="74" xfId="0" applyNumberFormat="1" applyFont="1" applyBorder="1">
      <alignment vertical="center"/>
    </xf>
    <xf numFmtId="0" fontId="27" fillId="0" borderId="3" xfId="0" applyFont="1" applyBorder="1">
      <alignment vertical="center"/>
    </xf>
    <xf numFmtId="0" fontId="14" fillId="0" borderId="25" xfId="0" applyFont="1" applyBorder="1">
      <alignment vertical="center"/>
    </xf>
    <xf numFmtId="0" fontId="26" fillId="0" borderId="1" xfId="0" applyFont="1" applyBorder="1" applyAlignment="1">
      <alignment vertical="center" wrapText="1"/>
    </xf>
    <xf numFmtId="0" fontId="33" fillId="0" borderId="4" xfId="0" applyFont="1" applyBorder="1" applyAlignment="1">
      <alignment vertical="center" wrapText="1"/>
    </xf>
    <xf numFmtId="0" fontId="33" fillId="0" borderId="1" xfId="3" applyFont="1" applyBorder="1" applyAlignment="1">
      <alignment vertical="center" wrapText="1"/>
    </xf>
    <xf numFmtId="0" fontId="33" fillId="0" borderId="1" xfId="3" applyFont="1" applyBorder="1" applyAlignment="1">
      <alignment vertical="center"/>
    </xf>
    <xf numFmtId="0" fontId="32" fillId="0" borderId="1" xfId="3" applyFont="1" applyBorder="1" applyAlignment="1">
      <alignment wrapText="1"/>
    </xf>
    <xf numFmtId="0" fontId="32" fillId="0" borderId="1" xfId="3" applyFont="1" applyBorder="1" applyAlignment="1">
      <alignment vertical="center" wrapText="1"/>
    </xf>
    <xf numFmtId="0" fontId="33" fillId="0" borderId="4" xfId="3" applyFont="1" applyBorder="1" applyAlignment="1">
      <alignment vertical="center" wrapText="1"/>
    </xf>
    <xf numFmtId="0" fontId="9" fillId="4" borderId="1" xfId="0" applyFont="1" applyFill="1" applyBorder="1" applyAlignment="1">
      <alignment horizontal="left" vertical="center"/>
    </xf>
    <xf numFmtId="0" fontId="25" fillId="0" borderId="12" xfId="0" applyFont="1" applyBorder="1" applyAlignment="1">
      <alignment horizontal="center" vertical="center" wrapText="1"/>
    </xf>
    <xf numFmtId="0" fontId="25" fillId="0" borderId="13" xfId="0" applyFont="1" applyBorder="1" applyAlignment="1">
      <alignment horizontal="center" vertical="center" wrapText="1"/>
    </xf>
    <xf numFmtId="0" fontId="25" fillId="0" borderId="14" xfId="0" applyFont="1" applyBorder="1" applyAlignment="1">
      <alignment horizontal="center" vertical="center" wrapText="1"/>
    </xf>
    <xf numFmtId="0" fontId="24" fillId="0" borderId="12" xfId="0" applyFont="1" applyBorder="1" applyAlignment="1">
      <alignment horizontal="center" vertical="center" wrapText="1"/>
    </xf>
    <xf numFmtId="0" fontId="24" fillId="0" borderId="13" xfId="0" applyFont="1" applyBorder="1" applyAlignment="1">
      <alignment horizontal="center" vertical="center"/>
    </xf>
    <xf numFmtId="0" fontId="24" fillId="0" borderId="14" xfId="0" applyFont="1" applyBorder="1" applyAlignment="1">
      <alignment horizontal="center" vertical="center"/>
    </xf>
    <xf numFmtId="0" fontId="31" fillId="0" borderId="12" xfId="0" applyFont="1" applyBorder="1" applyAlignment="1">
      <alignment horizontal="center" vertical="center" wrapText="1"/>
    </xf>
    <xf numFmtId="0" fontId="31" fillId="0" borderId="13" xfId="0" applyFont="1" applyBorder="1" applyAlignment="1">
      <alignment horizontal="center" vertical="center"/>
    </xf>
    <xf numFmtId="0" fontId="31" fillId="0" borderId="14" xfId="0" applyFont="1" applyBorder="1" applyAlignment="1">
      <alignment horizontal="center" vertical="center"/>
    </xf>
    <xf numFmtId="49" fontId="14" fillId="0" borderId="29" xfId="3" applyNumberFormat="1" applyFont="1" applyBorder="1" applyAlignment="1">
      <alignment vertical="center"/>
    </xf>
    <xf numFmtId="49" fontId="14" fillId="0" borderId="17" xfId="3" applyNumberFormat="1" applyFont="1" applyBorder="1" applyAlignment="1">
      <alignment vertical="center"/>
    </xf>
    <xf numFmtId="0" fontId="14" fillId="0" borderId="29" xfId="3" applyFont="1" applyBorder="1" applyAlignment="1">
      <alignment vertical="center"/>
    </xf>
    <xf numFmtId="0" fontId="14" fillId="0" borderId="17" xfId="3" applyFont="1" applyBorder="1" applyAlignment="1">
      <alignment vertical="center"/>
    </xf>
    <xf numFmtId="0" fontId="14" fillId="0" borderId="3" xfId="3" applyFont="1" applyBorder="1" applyAlignment="1">
      <alignment horizontal="left" vertical="center"/>
    </xf>
    <xf numFmtId="0" fontId="14" fillId="0" borderId="2" xfId="3" applyFont="1" applyBorder="1" applyAlignment="1">
      <alignment horizontal="left" vertical="center"/>
    </xf>
    <xf numFmtId="0" fontId="14" fillId="0" borderId="17" xfId="3" applyFont="1" applyBorder="1" applyAlignment="1">
      <alignment horizontal="left" vertical="center"/>
    </xf>
    <xf numFmtId="49" fontId="14" fillId="0" borderId="2" xfId="3" applyNumberFormat="1" applyFont="1" applyBorder="1" applyAlignment="1">
      <alignment vertical="center"/>
    </xf>
    <xf numFmtId="0" fontId="14" fillId="0" borderId="2" xfId="3" applyFont="1" applyBorder="1" applyAlignment="1">
      <alignment vertical="center"/>
    </xf>
    <xf numFmtId="0" fontId="14" fillId="0" borderId="30" xfId="3" applyFont="1" applyBorder="1" applyAlignment="1">
      <alignment vertical="center"/>
    </xf>
    <xf numFmtId="0" fontId="14" fillId="0" borderId="11" xfId="3" applyFont="1" applyBorder="1" applyAlignment="1">
      <alignment vertical="center"/>
    </xf>
    <xf numFmtId="0" fontId="14" fillId="0" borderId="34" xfId="3" applyFont="1" applyBorder="1" applyAlignment="1">
      <alignment vertical="center"/>
    </xf>
    <xf numFmtId="49" fontId="14" fillId="0" borderId="29" xfId="3" applyNumberFormat="1" applyFont="1" applyBorder="1" applyAlignment="1">
      <alignment horizontal="center" vertical="center"/>
    </xf>
    <xf numFmtId="49" fontId="14" fillId="0" borderId="2" xfId="3" applyNumberFormat="1" applyFont="1" applyBorder="1" applyAlignment="1">
      <alignment horizontal="center" vertical="center"/>
    </xf>
    <xf numFmtId="49" fontId="14" fillId="0" borderId="17" xfId="3" applyNumberFormat="1" applyFont="1" applyBorder="1" applyAlignment="1">
      <alignment horizontal="center" vertical="center"/>
    </xf>
    <xf numFmtId="0" fontId="14" fillId="0" borderId="29" xfId="3" applyFont="1" applyBorder="1" applyAlignment="1">
      <alignment horizontal="center" vertical="center"/>
    </xf>
    <xf numFmtId="0" fontId="14" fillId="0" borderId="2" xfId="3" applyFont="1" applyBorder="1" applyAlignment="1">
      <alignment horizontal="center" vertical="center"/>
    </xf>
    <xf numFmtId="0" fontId="14" fillId="0" borderId="17" xfId="3" applyFont="1" applyBorder="1" applyAlignment="1">
      <alignment horizontal="center" vertical="center"/>
    </xf>
    <xf numFmtId="49" fontId="14" fillId="0" borderId="36" xfId="3" applyNumberFormat="1" applyFont="1" applyBorder="1" applyAlignment="1">
      <alignment vertical="center"/>
    </xf>
    <xf numFmtId="0" fontId="14" fillId="0" borderId="38" xfId="3" applyFont="1" applyBorder="1" applyAlignment="1">
      <alignment vertical="center"/>
    </xf>
    <xf numFmtId="0" fontId="14" fillId="0" borderId="37" xfId="3" applyFont="1" applyBorder="1" applyAlignment="1">
      <alignment vertical="center"/>
    </xf>
    <xf numFmtId="0" fontId="14" fillId="0" borderId="39" xfId="3" applyFont="1" applyBorder="1" applyAlignment="1">
      <alignment vertical="center"/>
    </xf>
    <xf numFmtId="0" fontId="14" fillId="0" borderId="2" xfId="0" applyFont="1" applyBorder="1">
      <alignment vertical="center"/>
    </xf>
    <xf numFmtId="0" fontId="14" fillId="0" borderId="17" xfId="0" applyFont="1" applyBorder="1">
      <alignment vertical="center"/>
    </xf>
    <xf numFmtId="49" fontId="30" fillId="3" borderId="15" xfId="0" applyNumberFormat="1" applyFont="1" applyFill="1" applyBorder="1" applyAlignment="1">
      <alignment horizontal="left" vertical="center" wrapText="1"/>
    </xf>
    <xf numFmtId="49" fontId="30" fillId="3" borderId="64" xfId="0" applyNumberFormat="1" applyFont="1" applyFill="1" applyBorder="1" applyAlignment="1">
      <alignment horizontal="left" vertical="center"/>
    </xf>
    <xf numFmtId="49" fontId="30" fillId="3" borderId="21" xfId="0" applyNumberFormat="1" applyFont="1" applyFill="1" applyBorder="1" applyAlignment="1">
      <alignment horizontal="left" vertical="center"/>
    </xf>
    <xf numFmtId="49" fontId="30" fillId="3" borderId="12" xfId="0" applyNumberFormat="1" applyFont="1" applyFill="1" applyBorder="1" applyAlignment="1">
      <alignment horizontal="left" vertical="center" wrapText="1"/>
    </xf>
    <xf numFmtId="49" fontId="30" fillId="3" borderId="13" xfId="0" applyNumberFormat="1" applyFont="1" applyFill="1" applyBorder="1" applyAlignment="1">
      <alignment horizontal="left" vertical="center" wrapText="1"/>
    </xf>
    <xf numFmtId="49" fontId="30" fillId="3" borderId="14" xfId="0" applyNumberFormat="1" applyFont="1" applyFill="1" applyBorder="1" applyAlignment="1">
      <alignment horizontal="left" vertical="center" wrapText="1"/>
    </xf>
    <xf numFmtId="0" fontId="3" fillId="0" borderId="3" xfId="0" applyFont="1" applyBorder="1">
      <alignment vertical="center"/>
    </xf>
    <xf numFmtId="0" fontId="3" fillId="0" borderId="2" xfId="0" applyFont="1" applyBorder="1">
      <alignment vertical="center"/>
    </xf>
    <xf numFmtId="0" fontId="3" fillId="0" borderId="29" xfId="0" applyFont="1" applyBorder="1">
      <alignment vertical="center"/>
    </xf>
  </cellXfs>
  <cellStyles count="4">
    <cellStyle name="Hyperlink" xfId="1" xr:uid="{00000000-000B-0000-0000-000008000000}"/>
    <cellStyle name="一般" xfId="0" builtinId="0"/>
    <cellStyle name="一般 2" xfId="3" xr:uid="{13772882-4B88-4CDA-A30D-ACC051A08DA9}"/>
    <cellStyle name="好" xfId="2"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390525</xdr:colOff>
      <xdr:row>2</xdr:row>
      <xdr:rowOff>38873</xdr:rowOff>
    </xdr:from>
    <xdr:to>
      <xdr:col>17</xdr:col>
      <xdr:colOff>305963</xdr:colOff>
      <xdr:row>21</xdr:row>
      <xdr:rowOff>257991</xdr:rowOff>
    </xdr:to>
    <xdr:pic>
      <xdr:nvPicPr>
        <xdr:cNvPr id="4" name="圖片 3">
          <a:extLst>
            <a:ext uri="{FF2B5EF4-FFF2-40B4-BE49-F238E27FC236}">
              <a16:creationId xmlns:a16="http://schemas.microsoft.com/office/drawing/2014/main" id="{A7961646-A2C4-C59A-195E-4A43A8A99A43}"/>
            </a:ext>
          </a:extLst>
        </xdr:cNvPr>
        <xdr:cNvPicPr>
          <a:picLocks noChangeAspect="1"/>
        </xdr:cNvPicPr>
      </xdr:nvPicPr>
      <xdr:blipFill>
        <a:blip xmlns:r="http://schemas.openxmlformats.org/officeDocument/2006/relationships" r:embed="rId1"/>
        <a:stretch>
          <a:fillRect/>
        </a:stretch>
      </xdr:blipFill>
      <xdr:spPr>
        <a:xfrm>
          <a:off x="6477000" y="543698"/>
          <a:ext cx="6773438" cy="4753018"/>
        </a:xfrm>
        <a:prstGeom prst="rect">
          <a:avLst/>
        </a:prstGeom>
        <a:ln>
          <a:solidFill>
            <a:sysClr val="windowText" lastClr="000000"/>
          </a:solidFill>
        </a:ln>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G26"/>
  <sheetViews>
    <sheetView topLeftCell="A8" zoomScaleNormal="100" workbookViewId="0">
      <selection activeCell="A26" sqref="A26:G26"/>
    </sheetView>
  </sheetViews>
  <sheetFormatPr defaultColWidth="9" defaultRowHeight="18.75" x14ac:dyDescent="0.25"/>
  <cols>
    <col min="1" max="1" width="18.125" style="10" customWidth="1"/>
    <col min="2" max="2" width="10.5" style="10" customWidth="1"/>
    <col min="3" max="3" width="9.625" style="10" customWidth="1"/>
    <col min="4" max="4" width="10.125" style="10" customWidth="1"/>
    <col min="5" max="5" width="10.375" style="10" customWidth="1"/>
    <col min="6" max="6" width="12.125" style="10" customWidth="1"/>
    <col min="7" max="16384" width="9" style="10"/>
  </cols>
  <sheetData>
    <row r="1" spans="1:6" ht="21" x14ac:dyDescent="0.25">
      <c r="A1" s="252" t="s">
        <v>0</v>
      </c>
      <c r="B1" s="252"/>
      <c r="C1" s="252"/>
      <c r="D1" s="252"/>
      <c r="E1" s="252"/>
    </row>
    <row r="2" spans="1:6" x14ac:dyDescent="0.25">
      <c r="A2" s="66" t="s">
        <v>440</v>
      </c>
      <c r="B2" s="67">
        <v>1</v>
      </c>
    </row>
    <row r="4" spans="1:6" x14ac:dyDescent="0.25">
      <c r="A4" s="32" t="s">
        <v>1</v>
      </c>
      <c r="B4" s="32" t="s">
        <v>2</v>
      </c>
      <c r="C4" s="32" t="s">
        <v>3</v>
      </c>
      <c r="D4" s="32" t="s">
        <v>4</v>
      </c>
      <c r="E4" s="32" t="s">
        <v>5</v>
      </c>
      <c r="F4" s="32" t="s">
        <v>6</v>
      </c>
    </row>
    <row r="5" spans="1:6" x14ac:dyDescent="0.25">
      <c r="A5" s="11" t="s">
        <v>7</v>
      </c>
      <c r="B5" s="38">
        <v>0</v>
      </c>
      <c r="C5" s="11" t="str">
        <f>DEC2HEX(HEX2DEC(B6)-1)</f>
        <v>3DF</v>
      </c>
      <c r="D5" s="27">
        <f>F5/2</f>
        <v>992</v>
      </c>
      <c r="E5" s="11">
        <v>15872</v>
      </c>
      <c r="F5" s="11">
        <f>E5/8</f>
        <v>1984</v>
      </c>
    </row>
    <row r="6" spans="1:6" x14ac:dyDescent="0.25">
      <c r="A6" s="11" t="s">
        <v>8</v>
      </c>
      <c r="B6" s="11" t="str">
        <f>DEC2HEX(HEX2DEC(B5)+D5)</f>
        <v>3E0</v>
      </c>
      <c r="C6" s="11" t="str">
        <f t="shared" ref="C6" si="0">DEC2HEX(HEX2DEC(B7)-1)</f>
        <v>3FF</v>
      </c>
      <c r="D6" s="27">
        <f t="shared" ref="D6" si="1">F6/2</f>
        <v>32</v>
      </c>
      <c r="E6" s="11">
        <v>512</v>
      </c>
      <c r="F6" s="11">
        <f t="shared" ref="F6:F13" si="2">E6/8</f>
        <v>64</v>
      </c>
    </row>
    <row r="7" spans="1:6" x14ac:dyDescent="0.25">
      <c r="A7" s="11" t="s">
        <v>9</v>
      </c>
      <c r="B7" s="11" t="str">
        <f>DEC2HEX(HEX2DEC(B6)+D6)</f>
        <v>400</v>
      </c>
      <c r="C7" s="11" t="str">
        <f t="shared" ref="C7:C13" si="3">DEC2HEX(HEX2DEC(B8)-1)</f>
        <v>41F</v>
      </c>
      <c r="D7" s="27">
        <f t="shared" ref="D7:D13" si="4">F7/2</f>
        <v>32</v>
      </c>
      <c r="E7" s="11">
        <v>512</v>
      </c>
      <c r="F7" s="11">
        <f t="shared" si="2"/>
        <v>64</v>
      </c>
    </row>
    <row r="8" spans="1:6" x14ac:dyDescent="0.25">
      <c r="A8" s="11" t="s">
        <v>10</v>
      </c>
      <c r="B8" s="11" t="str">
        <f t="shared" ref="B8:B14" si="5">DEC2HEX(HEX2DEC(B7)+D7)</f>
        <v>420</v>
      </c>
      <c r="C8" s="11" t="str">
        <f t="shared" si="3"/>
        <v>42F</v>
      </c>
      <c r="D8" s="27">
        <f t="shared" si="4"/>
        <v>16</v>
      </c>
      <c r="E8" s="11">
        <v>256</v>
      </c>
      <c r="F8" s="11">
        <f t="shared" si="2"/>
        <v>32</v>
      </c>
    </row>
    <row r="9" spans="1:6" x14ac:dyDescent="0.25">
      <c r="A9" s="11" t="s">
        <v>11</v>
      </c>
      <c r="B9" s="11" t="str">
        <f t="shared" si="5"/>
        <v>430</v>
      </c>
      <c r="C9" s="11" t="str">
        <f t="shared" si="3"/>
        <v>43F</v>
      </c>
      <c r="D9" s="27">
        <f t="shared" si="4"/>
        <v>16</v>
      </c>
      <c r="E9" s="11">
        <v>256</v>
      </c>
      <c r="F9" s="11">
        <f t="shared" si="2"/>
        <v>32</v>
      </c>
    </row>
    <row r="10" spans="1:6" x14ac:dyDescent="0.25">
      <c r="A10" s="11" t="s">
        <v>886</v>
      </c>
      <c r="B10" s="11" t="str">
        <f t="shared" si="5"/>
        <v>440</v>
      </c>
      <c r="C10" s="11" t="str">
        <f t="shared" si="3"/>
        <v>FFF</v>
      </c>
      <c r="D10" s="27">
        <f t="shared" si="4"/>
        <v>3008</v>
      </c>
      <c r="E10" s="11">
        <v>48128</v>
      </c>
      <c r="F10" s="11">
        <f t="shared" si="2"/>
        <v>6016</v>
      </c>
    </row>
    <row r="11" spans="1:6" x14ac:dyDescent="0.25">
      <c r="A11" s="11" t="s">
        <v>887</v>
      </c>
      <c r="B11" s="11" t="str">
        <f t="shared" si="5"/>
        <v>1000</v>
      </c>
      <c r="C11" s="11" t="str">
        <f t="shared" si="3"/>
        <v>1BFF</v>
      </c>
      <c r="D11" s="27">
        <f t="shared" si="4"/>
        <v>3072</v>
      </c>
      <c r="E11" s="11">
        <v>49152</v>
      </c>
      <c r="F11" s="11">
        <f t="shared" si="2"/>
        <v>6144</v>
      </c>
    </row>
    <row r="12" spans="1:6" x14ac:dyDescent="0.25">
      <c r="A12" s="11" t="s">
        <v>888</v>
      </c>
      <c r="B12" s="11" t="str">
        <f t="shared" si="5"/>
        <v>1C00</v>
      </c>
      <c r="C12" s="11" t="str">
        <f t="shared" si="3"/>
        <v>1F7F</v>
      </c>
      <c r="D12" s="27">
        <f t="shared" si="4"/>
        <v>896</v>
      </c>
      <c r="E12" s="11">
        <v>14336</v>
      </c>
      <c r="F12" s="11">
        <f t="shared" si="2"/>
        <v>1792</v>
      </c>
    </row>
    <row r="13" spans="1:6" ht="19.5" thickBot="1" x14ac:dyDescent="0.3">
      <c r="A13" s="225" t="s">
        <v>889</v>
      </c>
      <c r="B13" s="30" t="str">
        <f t="shared" si="5"/>
        <v>1F80</v>
      </c>
      <c r="C13" s="30" t="str">
        <f t="shared" si="3"/>
        <v>1FFF</v>
      </c>
      <c r="D13" s="31">
        <f t="shared" si="4"/>
        <v>128</v>
      </c>
      <c r="E13" s="30">
        <v>2048</v>
      </c>
      <c r="F13" s="30">
        <f t="shared" si="2"/>
        <v>256</v>
      </c>
    </row>
    <row r="14" spans="1:6" x14ac:dyDescent="0.25">
      <c r="A14" s="11" t="s">
        <v>13</v>
      </c>
      <c r="B14" s="28" t="str">
        <f t="shared" si="5"/>
        <v>2000</v>
      </c>
      <c r="C14" s="28"/>
      <c r="D14" s="29">
        <f>SUM(D5:D13)</f>
        <v>8192</v>
      </c>
      <c r="E14" s="29">
        <f>SUM(E5:E13)</f>
        <v>131072</v>
      </c>
      <c r="F14" s="29">
        <f>SUM(F5:F13)</f>
        <v>16384</v>
      </c>
    </row>
    <row r="22" spans="1:7" ht="45.75" customHeight="1" x14ac:dyDescent="0.25">
      <c r="A22" s="253" t="s">
        <v>895</v>
      </c>
      <c r="B22" s="254"/>
      <c r="C22" s="254"/>
      <c r="D22" s="254"/>
      <c r="E22" s="254"/>
      <c r="F22" s="254"/>
      <c r="G22" s="255"/>
    </row>
    <row r="24" spans="1:7" ht="56.25" customHeight="1" x14ac:dyDescent="0.25">
      <c r="A24" s="256" t="s">
        <v>896</v>
      </c>
      <c r="B24" s="257"/>
      <c r="C24" s="257"/>
      <c r="D24" s="257"/>
      <c r="E24" s="257"/>
      <c r="F24" s="257"/>
      <c r="G24" s="258"/>
    </row>
    <row r="26" spans="1:7" ht="53.25" customHeight="1" x14ac:dyDescent="0.25">
      <c r="A26" s="259" t="s">
        <v>897</v>
      </c>
      <c r="B26" s="260"/>
      <c r="C26" s="260"/>
      <c r="D26" s="260"/>
      <c r="E26" s="260"/>
      <c r="F26" s="260"/>
      <c r="G26" s="261"/>
    </row>
  </sheetData>
  <mergeCells count="4">
    <mergeCell ref="A1:E1"/>
    <mergeCell ref="A22:G22"/>
    <mergeCell ref="A24:G24"/>
    <mergeCell ref="A26:G26"/>
  </mergeCells>
  <phoneticPr fontId="1" type="noConversion"/>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G4"/>
  <sheetViews>
    <sheetView zoomScaleNormal="100" workbookViewId="0">
      <pane ySplit="1" topLeftCell="A2" activePane="bottomLeft" state="frozen"/>
      <selection pane="bottomLeft" activeCell="B2" sqref="B2"/>
    </sheetView>
  </sheetViews>
  <sheetFormatPr defaultColWidth="9" defaultRowHeight="15" x14ac:dyDescent="0.25"/>
  <cols>
    <col min="1" max="1" width="16.375" style="19" customWidth="1"/>
    <col min="2" max="2" width="37" style="19" customWidth="1"/>
    <col min="3" max="4" width="10" style="19" customWidth="1"/>
    <col min="5" max="5" width="13.125" style="19" customWidth="1"/>
    <col min="6" max="6" width="67.375" style="19" customWidth="1"/>
    <col min="7" max="7" width="23.125" style="19" customWidth="1"/>
    <col min="8" max="16384" width="9" style="19"/>
  </cols>
  <sheetData>
    <row r="1" spans="1:7" s="56" customFormat="1" ht="36.75" thickBot="1" x14ac:dyDescent="0.3">
      <c r="A1" s="55" t="s">
        <v>40</v>
      </c>
      <c r="B1" s="55" t="s">
        <v>41</v>
      </c>
      <c r="C1" s="55" t="s">
        <v>42</v>
      </c>
      <c r="D1" s="55" t="s">
        <v>43</v>
      </c>
      <c r="E1" s="55" t="s">
        <v>44</v>
      </c>
      <c r="F1" s="55" t="s">
        <v>45</v>
      </c>
      <c r="G1" s="55" t="s">
        <v>444</v>
      </c>
    </row>
    <row r="2" spans="1:7" ht="45.75" thickBot="1" x14ac:dyDescent="0.3">
      <c r="A2" s="59" t="s">
        <v>441</v>
      </c>
      <c r="B2" s="226" t="s">
        <v>442</v>
      </c>
      <c r="C2" s="5">
        <v>15872</v>
      </c>
      <c r="D2" s="5">
        <f t="shared" ref="D2" si="0">QUOTIENT(C2+7,8)</f>
        <v>1984</v>
      </c>
      <c r="E2" s="5">
        <f t="shared" ref="E2" si="1">QUOTIENT(D2+1,2)</f>
        <v>992</v>
      </c>
      <c r="F2" s="57" t="s">
        <v>445</v>
      </c>
      <c r="G2" s="53" t="s">
        <v>443</v>
      </c>
    </row>
    <row r="3" spans="1:7" ht="19.5" customHeight="1" thickBot="1" x14ac:dyDescent="0.3">
      <c r="A3" s="43" t="str">
        <f>DEC2HEX(HEX2DEC(A2)+E2)</f>
        <v>3E0</v>
      </c>
      <c r="B3" s="42" t="s">
        <v>59</v>
      </c>
      <c r="C3" s="43">
        <f>SUM(C2:C2)</f>
        <v>15872</v>
      </c>
      <c r="D3" s="43">
        <f>SUM(D2:D2)</f>
        <v>1984</v>
      </c>
      <c r="E3" s="43">
        <f>SUM(E2:E2)</f>
        <v>992</v>
      </c>
      <c r="F3" s="43"/>
      <c r="G3" s="44"/>
    </row>
    <row r="4" spans="1:7" ht="17.25" hidden="1" customHeight="1" x14ac:dyDescent="0.25">
      <c r="A4" s="5" t="str">
        <f>DEC2HEX(E4)</f>
        <v>3E0</v>
      </c>
      <c r="B4" s="5" t="s">
        <v>60</v>
      </c>
      <c r="C4" s="5">
        <f>E3*16</f>
        <v>15872</v>
      </c>
      <c r="D4" s="5">
        <f t="shared" ref="D4" si="2">QUOTIENT(C4+7,8)</f>
        <v>1984</v>
      </c>
      <c r="E4" s="5">
        <f t="shared" ref="E4" si="3">QUOTIENT(D4+1,2)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H13"/>
  <sheetViews>
    <sheetView zoomScaleNormal="100" workbookViewId="0">
      <pane ySplit="1" topLeftCell="A2" activePane="bottomLeft" state="frozen"/>
      <selection pane="bottomLeft" activeCell="A17" sqref="A17"/>
    </sheetView>
  </sheetViews>
  <sheetFormatPr defaultColWidth="9" defaultRowHeight="15" x14ac:dyDescent="0.25"/>
  <cols>
    <col min="1" max="1" width="16.375" style="19" customWidth="1"/>
    <col min="2" max="2" width="37" style="19" customWidth="1"/>
    <col min="3" max="4" width="10" style="19" customWidth="1"/>
    <col min="5" max="5" width="13.125" style="19" customWidth="1"/>
    <col min="6" max="6" width="67.375" style="19" customWidth="1"/>
    <col min="7" max="7" width="23.125" style="19" customWidth="1"/>
    <col min="8" max="8" width="54.25" style="19" customWidth="1"/>
    <col min="9" max="16384" width="9" style="19"/>
  </cols>
  <sheetData>
    <row r="1" spans="1:8" s="56" customFormat="1" ht="36.75" thickBot="1" x14ac:dyDescent="0.3">
      <c r="A1" s="55" t="s">
        <v>40</v>
      </c>
      <c r="B1" s="55" t="s">
        <v>41</v>
      </c>
      <c r="C1" s="55" t="s">
        <v>42</v>
      </c>
      <c r="D1" s="55" t="s">
        <v>43</v>
      </c>
      <c r="E1" s="55" t="s">
        <v>44</v>
      </c>
      <c r="F1" s="55" t="s">
        <v>45</v>
      </c>
      <c r="G1" s="55" t="s">
        <v>444</v>
      </c>
      <c r="H1" s="55" t="s">
        <v>47</v>
      </c>
    </row>
    <row r="2" spans="1:8" x14ac:dyDescent="0.25">
      <c r="A2" s="59" t="s">
        <v>48</v>
      </c>
      <c r="B2" s="251" t="s">
        <v>14</v>
      </c>
      <c r="C2" s="5">
        <v>16</v>
      </c>
      <c r="D2" s="5">
        <f t="shared" ref="D2:D11" si="0">QUOTIENT(C2+7,8)</f>
        <v>2</v>
      </c>
      <c r="E2" s="5">
        <f t="shared" ref="E2:E11" si="1">QUOTIENT(D2+1,2)</f>
        <v>1</v>
      </c>
      <c r="F2" s="2" t="s">
        <v>14</v>
      </c>
      <c r="G2" s="2" t="s">
        <v>14</v>
      </c>
      <c r="H2" s="53"/>
    </row>
    <row r="3" spans="1:8" x14ac:dyDescent="0.25">
      <c r="A3" s="20" t="str">
        <f t="shared" ref="A3:A12" si="2">DEC2HEX(HEX2DEC(A2)+E2)</f>
        <v>3E1</v>
      </c>
      <c r="B3" s="246" t="s">
        <v>14</v>
      </c>
      <c r="C3" s="2">
        <v>16</v>
      </c>
      <c r="D3" s="2">
        <f t="shared" si="0"/>
        <v>2</v>
      </c>
      <c r="E3" s="2">
        <f t="shared" si="1"/>
        <v>1</v>
      </c>
      <c r="F3" s="2" t="s">
        <v>14</v>
      </c>
      <c r="G3" s="2" t="s">
        <v>14</v>
      </c>
      <c r="H3" s="25"/>
    </row>
    <row r="4" spans="1:8" x14ac:dyDescent="0.25">
      <c r="A4" s="20" t="str">
        <f t="shared" si="2"/>
        <v>3E2</v>
      </c>
      <c r="B4" s="53" t="s">
        <v>50</v>
      </c>
      <c r="C4" s="2">
        <v>16</v>
      </c>
      <c r="D4" s="2">
        <f t="shared" ref="D4:D8" si="3">QUOTIENT(C4+7,8)</f>
        <v>2</v>
      </c>
      <c r="E4" s="2">
        <f t="shared" ref="E4:E8" si="4">QUOTIENT(D4+1,2)</f>
        <v>1</v>
      </c>
      <c r="F4" s="2" t="s">
        <v>446</v>
      </c>
      <c r="G4" s="25" t="s">
        <v>446</v>
      </c>
      <c r="H4" s="2"/>
    </row>
    <row r="5" spans="1:8" ht="45" x14ac:dyDescent="0.25">
      <c r="A5" s="20" t="str">
        <f t="shared" si="2"/>
        <v>3E3</v>
      </c>
      <c r="B5" s="53" t="s">
        <v>51</v>
      </c>
      <c r="C5" s="2">
        <v>16</v>
      </c>
      <c r="D5" s="2">
        <f t="shared" si="3"/>
        <v>2</v>
      </c>
      <c r="E5" s="2">
        <f t="shared" si="4"/>
        <v>1</v>
      </c>
      <c r="F5" s="2" t="s">
        <v>52</v>
      </c>
      <c r="G5" s="25" t="s">
        <v>49</v>
      </c>
      <c r="H5" s="2"/>
    </row>
    <row r="6" spans="1:8" ht="45" x14ac:dyDescent="0.25">
      <c r="A6" s="20" t="str">
        <f t="shared" si="2"/>
        <v>3E4</v>
      </c>
      <c r="B6" s="246" t="s">
        <v>898</v>
      </c>
      <c r="C6" s="2">
        <v>64</v>
      </c>
      <c r="D6" s="25">
        <f t="shared" si="3"/>
        <v>8</v>
      </c>
      <c r="E6" s="25">
        <f t="shared" si="4"/>
        <v>4</v>
      </c>
      <c r="F6" s="247" t="s">
        <v>899</v>
      </c>
      <c r="G6" s="58" t="s">
        <v>53</v>
      </c>
      <c r="H6" s="58" t="s">
        <v>447</v>
      </c>
    </row>
    <row r="7" spans="1:8" ht="45.75" x14ac:dyDescent="0.25">
      <c r="A7" s="52" t="str">
        <f t="shared" si="2"/>
        <v>3E8</v>
      </c>
      <c r="B7" s="53" t="s">
        <v>54</v>
      </c>
      <c r="C7" s="24">
        <v>32</v>
      </c>
      <c r="D7" s="51">
        <f t="shared" si="3"/>
        <v>4</v>
      </c>
      <c r="E7" s="51">
        <f t="shared" si="4"/>
        <v>2</v>
      </c>
      <c r="F7" s="2" t="s">
        <v>875</v>
      </c>
      <c r="G7" s="58" t="s">
        <v>53</v>
      </c>
      <c r="H7" s="5"/>
    </row>
    <row r="8" spans="1:8" ht="45.75" x14ac:dyDescent="0.25">
      <c r="A8" s="20" t="str">
        <f t="shared" si="2"/>
        <v>3EA</v>
      </c>
      <c r="B8" s="69" t="s">
        <v>55</v>
      </c>
      <c r="C8" s="2">
        <v>128</v>
      </c>
      <c r="D8" s="25">
        <f t="shared" si="3"/>
        <v>16</v>
      </c>
      <c r="E8" s="25">
        <f t="shared" si="4"/>
        <v>8</v>
      </c>
      <c r="F8" s="2" t="s">
        <v>876</v>
      </c>
      <c r="G8" s="58" t="s">
        <v>53</v>
      </c>
      <c r="H8" s="2"/>
    </row>
    <row r="9" spans="1:8" ht="15.75" x14ac:dyDescent="0.25">
      <c r="A9" s="20" t="str">
        <f t="shared" ref="A9:A11" si="5">DEC2HEX(HEX2DEC(A8)+E8)</f>
        <v>3F2</v>
      </c>
      <c r="B9" s="70" t="s">
        <v>56</v>
      </c>
      <c r="C9" s="65">
        <v>4</v>
      </c>
      <c r="D9" s="25">
        <f t="shared" ref="D9:D10" si="6">QUOTIENT(C9+7,8)</f>
        <v>1</v>
      </c>
      <c r="E9" s="25">
        <f t="shared" ref="E9:E10" si="7">QUOTIENT(D9+1,2)</f>
        <v>1</v>
      </c>
      <c r="F9" s="224" t="s">
        <v>448</v>
      </c>
      <c r="G9" s="64" t="s">
        <v>57</v>
      </c>
      <c r="H9" s="2"/>
    </row>
    <row r="10" spans="1:8" ht="15.75" x14ac:dyDescent="0.25">
      <c r="A10" s="20" t="str">
        <f t="shared" si="5"/>
        <v>3F3</v>
      </c>
      <c r="B10" s="70" t="s">
        <v>58</v>
      </c>
      <c r="C10" s="65">
        <v>32</v>
      </c>
      <c r="D10" s="25">
        <f t="shared" si="6"/>
        <v>4</v>
      </c>
      <c r="E10" s="25">
        <f t="shared" si="7"/>
        <v>2</v>
      </c>
      <c r="F10" s="224" t="s">
        <v>449</v>
      </c>
      <c r="G10" s="64" t="s">
        <v>57</v>
      </c>
      <c r="H10" s="2"/>
    </row>
    <row r="11" spans="1:8" ht="18.75" customHeight="1" thickBot="1" x14ac:dyDescent="0.3">
      <c r="A11" s="20" t="str">
        <f t="shared" si="5"/>
        <v>3F5</v>
      </c>
      <c r="B11" s="61" t="s">
        <v>14</v>
      </c>
      <c r="C11" s="24">
        <v>176</v>
      </c>
      <c r="D11" s="24">
        <f t="shared" si="0"/>
        <v>22</v>
      </c>
      <c r="E11" s="24">
        <f t="shared" si="1"/>
        <v>11</v>
      </c>
      <c r="F11" s="24" t="s">
        <v>14</v>
      </c>
      <c r="G11" s="24" t="s">
        <v>14</v>
      </c>
      <c r="H11" s="2"/>
    </row>
    <row r="12" spans="1:8" ht="19.5" customHeight="1" thickBot="1" x14ac:dyDescent="0.3">
      <c r="A12" s="43" t="str">
        <f t="shared" si="2"/>
        <v>400</v>
      </c>
      <c r="B12" s="42" t="s">
        <v>59</v>
      </c>
      <c r="C12" s="43">
        <f>SUM(C2:C11)</f>
        <v>500</v>
      </c>
      <c r="D12" s="43">
        <f>SUM(D2:D11)</f>
        <v>63</v>
      </c>
      <c r="E12" s="43">
        <f>SUM(E2:E11)</f>
        <v>32</v>
      </c>
      <c r="F12" s="43"/>
      <c r="G12" s="44"/>
    </row>
    <row r="13" spans="1:8" ht="17.25" hidden="1" customHeight="1" x14ac:dyDescent="0.25">
      <c r="A13" s="5" t="str">
        <f>DEC2HEX(E13)</f>
        <v>20</v>
      </c>
      <c r="B13" s="5" t="s">
        <v>60</v>
      </c>
      <c r="C13" s="5">
        <f>E12*16</f>
        <v>512</v>
      </c>
      <c r="D13" s="5">
        <f t="shared" ref="D13" si="8">QUOTIENT(C13+7,8)</f>
        <v>64</v>
      </c>
      <c r="E13" s="5">
        <f t="shared" ref="E13" si="9">QUOTIENT(D13+1,2)</f>
        <v>32</v>
      </c>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D831B-0566-4265-ADAE-2A0AE27B692F}">
  <sheetPr>
    <pageSetUpPr fitToPage="1"/>
  </sheetPr>
  <dimension ref="A1:G144"/>
  <sheetViews>
    <sheetView zoomScaleNormal="100" workbookViewId="0">
      <selection activeCell="E5" sqref="E5"/>
    </sheetView>
  </sheetViews>
  <sheetFormatPr defaultColWidth="9" defaultRowHeight="16.5" x14ac:dyDescent="0.25"/>
  <cols>
    <col min="1" max="1" width="16.625" style="17" customWidth="1"/>
    <col min="2" max="2" width="24.125" style="12" customWidth="1"/>
    <col min="3" max="3" width="6.75" style="12" customWidth="1"/>
    <col min="4" max="4" width="6.375" style="12" customWidth="1"/>
    <col min="5" max="5" width="44.125" style="12" customWidth="1"/>
    <col min="6" max="6" width="62.125" style="13" customWidth="1"/>
    <col min="7" max="7" width="33.375" style="12" customWidth="1"/>
    <col min="8" max="16384" width="9" style="14"/>
  </cols>
  <sheetData>
    <row r="1" spans="1:7" ht="46.5" customHeight="1" thickBot="1" x14ac:dyDescent="0.3">
      <c r="A1" s="55" t="s">
        <v>40</v>
      </c>
      <c r="B1" s="55" t="s">
        <v>450</v>
      </c>
      <c r="C1" s="55" t="s">
        <v>451</v>
      </c>
      <c r="D1" s="55" t="s">
        <v>452</v>
      </c>
      <c r="E1" s="55" t="s">
        <v>453</v>
      </c>
      <c r="F1" s="55" t="s">
        <v>45</v>
      </c>
      <c r="G1" s="123" t="s">
        <v>444</v>
      </c>
    </row>
    <row r="2" spans="1:7" s="15" customFormat="1" ht="30" x14ac:dyDescent="0.25">
      <c r="A2" s="266">
        <v>400</v>
      </c>
      <c r="B2" s="266" t="s">
        <v>61</v>
      </c>
      <c r="C2" s="79">
        <v>15</v>
      </c>
      <c r="D2" s="79">
        <v>15</v>
      </c>
      <c r="E2" s="79" t="s">
        <v>62</v>
      </c>
      <c r="F2" s="74" t="s">
        <v>63</v>
      </c>
      <c r="G2" s="79"/>
    </row>
    <row r="3" spans="1:7" s="129" customFormat="1" ht="30.75" x14ac:dyDescent="0.25">
      <c r="A3" s="267"/>
      <c r="B3" s="267"/>
      <c r="C3" s="78">
        <v>14</v>
      </c>
      <c r="D3" s="78">
        <v>14</v>
      </c>
      <c r="E3" s="227" t="s">
        <v>64</v>
      </c>
      <c r="F3" s="125" t="s">
        <v>65</v>
      </c>
      <c r="G3" s="124"/>
    </row>
    <row r="4" spans="1:7" s="15" customFormat="1" ht="75" x14ac:dyDescent="0.25">
      <c r="A4" s="267"/>
      <c r="B4" s="267"/>
      <c r="C4" s="78">
        <v>13</v>
      </c>
      <c r="D4" s="78">
        <v>13</v>
      </c>
      <c r="E4" s="75" t="s">
        <v>66</v>
      </c>
      <c r="F4" s="71" t="s">
        <v>457</v>
      </c>
      <c r="G4" s="71" t="s">
        <v>67</v>
      </c>
    </row>
    <row r="5" spans="1:7" s="15" customFormat="1" x14ac:dyDescent="0.25">
      <c r="A5" s="267"/>
      <c r="B5" s="267"/>
      <c r="C5" s="75">
        <v>12</v>
      </c>
      <c r="D5" s="75">
        <v>12</v>
      </c>
      <c r="E5" s="78" t="s">
        <v>68</v>
      </c>
      <c r="F5" s="71" t="s">
        <v>69</v>
      </c>
      <c r="G5" s="71"/>
    </row>
    <row r="6" spans="1:7" s="15" customFormat="1" x14ac:dyDescent="0.25">
      <c r="A6" s="267"/>
      <c r="B6" s="267"/>
      <c r="C6" s="75">
        <v>11</v>
      </c>
      <c r="D6" s="75">
        <v>11</v>
      </c>
      <c r="E6" s="78" t="s">
        <v>70</v>
      </c>
      <c r="F6" s="71" t="s">
        <v>71</v>
      </c>
      <c r="G6" s="71"/>
    </row>
    <row r="7" spans="1:7" s="15" customFormat="1" x14ac:dyDescent="0.25">
      <c r="A7" s="267"/>
      <c r="B7" s="267"/>
      <c r="C7" s="75">
        <v>10</v>
      </c>
      <c r="D7" s="75">
        <v>10</v>
      </c>
      <c r="E7" s="75" t="s">
        <v>72</v>
      </c>
      <c r="F7" s="71" t="s">
        <v>73</v>
      </c>
      <c r="G7" s="71"/>
    </row>
    <row r="8" spans="1:7" s="15" customFormat="1" ht="45" x14ac:dyDescent="0.25">
      <c r="A8" s="267"/>
      <c r="B8" s="267"/>
      <c r="C8" s="68">
        <v>9</v>
      </c>
      <c r="D8" s="68">
        <v>9</v>
      </c>
      <c r="E8" s="68" t="s">
        <v>74</v>
      </c>
      <c r="F8" s="87" t="s">
        <v>458</v>
      </c>
      <c r="G8" s="68"/>
    </row>
    <row r="9" spans="1:7" s="15" customFormat="1" ht="45" x14ac:dyDescent="0.25">
      <c r="A9" s="267"/>
      <c r="B9" s="267"/>
      <c r="C9" s="79">
        <v>8</v>
      </c>
      <c r="D9" s="79">
        <v>8</v>
      </c>
      <c r="E9" s="79" t="s">
        <v>75</v>
      </c>
      <c r="F9" s="122" t="s">
        <v>76</v>
      </c>
      <c r="G9" s="71"/>
    </row>
    <row r="10" spans="1:7" s="15" customFormat="1" x14ac:dyDescent="0.25">
      <c r="A10" s="267"/>
      <c r="B10" s="267"/>
      <c r="C10" s="75">
        <v>7</v>
      </c>
      <c r="D10" s="75">
        <v>7</v>
      </c>
      <c r="E10" s="75" t="s">
        <v>77</v>
      </c>
      <c r="F10" s="72" t="s">
        <v>78</v>
      </c>
      <c r="G10" s="71"/>
    </row>
    <row r="11" spans="1:7" s="15" customFormat="1" x14ac:dyDescent="0.25">
      <c r="A11" s="267"/>
      <c r="B11" s="267"/>
      <c r="C11" s="75">
        <v>6</v>
      </c>
      <c r="D11" s="75">
        <v>6</v>
      </c>
      <c r="E11" s="75" t="s">
        <v>79</v>
      </c>
      <c r="F11" s="72" t="s">
        <v>80</v>
      </c>
      <c r="G11" s="71"/>
    </row>
    <row r="12" spans="1:7" s="15" customFormat="1" x14ac:dyDescent="0.25">
      <c r="A12" s="267"/>
      <c r="B12" s="267"/>
      <c r="C12" s="75">
        <v>5</v>
      </c>
      <c r="D12" s="75">
        <v>5</v>
      </c>
      <c r="E12" s="227" t="s">
        <v>81</v>
      </c>
      <c r="F12" s="72" t="s">
        <v>82</v>
      </c>
      <c r="G12" s="71"/>
    </row>
    <row r="13" spans="1:7" s="15" customFormat="1" x14ac:dyDescent="0.25">
      <c r="A13" s="267"/>
      <c r="B13" s="267"/>
      <c r="C13" s="75">
        <v>4</v>
      </c>
      <c r="D13" s="75">
        <v>4</v>
      </c>
      <c r="E13" s="71" t="s">
        <v>83</v>
      </c>
      <c r="F13" s="72" t="s">
        <v>84</v>
      </c>
      <c r="G13" s="71"/>
    </row>
    <row r="14" spans="1:7" s="15" customFormat="1" x14ac:dyDescent="0.25">
      <c r="A14" s="267"/>
      <c r="B14" s="267"/>
      <c r="C14" s="78">
        <v>3</v>
      </c>
      <c r="D14" s="78">
        <v>3</v>
      </c>
      <c r="E14" s="78" t="s">
        <v>85</v>
      </c>
      <c r="F14" s="72" t="s">
        <v>86</v>
      </c>
      <c r="G14" s="75"/>
    </row>
    <row r="15" spans="1:7" s="15" customFormat="1" x14ac:dyDescent="0.25">
      <c r="A15" s="267"/>
      <c r="B15" s="267"/>
      <c r="C15" s="75">
        <v>2</v>
      </c>
      <c r="D15" s="75">
        <v>2</v>
      </c>
      <c r="E15" s="78" t="s">
        <v>87</v>
      </c>
      <c r="F15" s="72" t="s">
        <v>88</v>
      </c>
      <c r="G15" s="75"/>
    </row>
    <row r="16" spans="1:7" s="15" customFormat="1" x14ac:dyDescent="0.25">
      <c r="A16" s="267"/>
      <c r="B16" s="267"/>
      <c r="C16" s="75">
        <v>1</v>
      </c>
      <c r="D16" s="75">
        <v>1</v>
      </c>
      <c r="E16" s="78" t="s">
        <v>89</v>
      </c>
      <c r="F16" s="71" t="s">
        <v>90</v>
      </c>
      <c r="G16" s="75"/>
    </row>
    <row r="17" spans="1:7" s="15" customFormat="1" ht="17.25" thickBot="1" x14ac:dyDescent="0.3">
      <c r="A17" s="268"/>
      <c r="B17" s="268"/>
      <c r="C17" s="89">
        <v>0</v>
      </c>
      <c r="D17" s="89">
        <v>0</v>
      </c>
      <c r="E17" s="108" t="s">
        <v>91</v>
      </c>
      <c r="F17" s="108" t="s">
        <v>92</v>
      </c>
      <c r="G17" s="108"/>
    </row>
    <row r="18" spans="1:7" s="15" customFormat="1" ht="30.75" thickBot="1" x14ac:dyDescent="0.3">
      <c r="A18" s="126" t="s">
        <v>93</v>
      </c>
      <c r="B18" s="127" t="s">
        <v>94</v>
      </c>
      <c r="C18" s="92">
        <v>15</v>
      </c>
      <c r="D18" s="92">
        <v>0</v>
      </c>
      <c r="E18" s="92" t="s">
        <v>95</v>
      </c>
      <c r="F18" s="91" t="s">
        <v>96</v>
      </c>
      <c r="G18" s="92"/>
    </row>
    <row r="19" spans="1:7" s="15" customFormat="1" x14ac:dyDescent="0.25">
      <c r="A19" s="269" t="s">
        <v>97</v>
      </c>
      <c r="B19" s="270" t="s">
        <v>98</v>
      </c>
      <c r="C19" s="68">
        <v>15</v>
      </c>
      <c r="D19" s="68">
        <v>15</v>
      </c>
      <c r="E19" s="68" t="s">
        <v>37</v>
      </c>
      <c r="F19" s="81" t="s">
        <v>37</v>
      </c>
      <c r="G19" s="130"/>
    </row>
    <row r="20" spans="1:7" s="15" customFormat="1" x14ac:dyDescent="0.25">
      <c r="A20" s="269"/>
      <c r="B20" s="270"/>
      <c r="C20" s="75">
        <v>14</v>
      </c>
      <c r="D20" s="75">
        <v>14</v>
      </c>
      <c r="E20" s="75" t="s">
        <v>37</v>
      </c>
      <c r="F20" s="71" t="s">
        <v>37</v>
      </c>
      <c r="G20" s="75"/>
    </row>
    <row r="21" spans="1:7" s="15" customFormat="1" ht="30" x14ac:dyDescent="0.25">
      <c r="A21" s="269"/>
      <c r="B21" s="270"/>
      <c r="C21" s="75">
        <v>13</v>
      </c>
      <c r="D21" s="75">
        <v>13</v>
      </c>
      <c r="E21" s="248" t="s">
        <v>900</v>
      </c>
      <c r="F21" s="247" t="s">
        <v>901</v>
      </c>
      <c r="G21" s="71"/>
    </row>
    <row r="22" spans="1:7" s="15" customFormat="1" ht="45" x14ac:dyDescent="0.25">
      <c r="A22" s="269"/>
      <c r="B22" s="270"/>
      <c r="C22" s="75">
        <v>12</v>
      </c>
      <c r="D22" s="75">
        <v>12</v>
      </c>
      <c r="E22" s="75" t="s">
        <v>99</v>
      </c>
      <c r="F22" s="71" t="s">
        <v>100</v>
      </c>
      <c r="G22" s="75"/>
    </row>
    <row r="23" spans="1:7" s="15" customFormat="1" ht="60" x14ac:dyDescent="0.25">
      <c r="A23" s="269"/>
      <c r="B23" s="270"/>
      <c r="C23" s="75">
        <v>11</v>
      </c>
      <c r="D23" s="75">
        <v>11</v>
      </c>
      <c r="E23" s="75" t="s">
        <v>101</v>
      </c>
      <c r="F23" s="71" t="s">
        <v>102</v>
      </c>
      <c r="G23" s="71"/>
    </row>
    <row r="24" spans="1:7" s="15" customFormat="1" ht="45.75" x14ac:dyDescent="0.25">
      <c r="A24" s="269"/>
      <c r="B24" s="270"/>
      <c r="C24" s="75">
        <v>10</v>
      </c>
      <c r="D24" s="75">
        <v>10</v>
      </c>
      <c r="E24" s="250" t="s">
        <v>902</v>
      </c>
      <c r="F24" s="249" t="s">
        <v>103</v>
      </c>
      <c r="G24" s="71"/>
    </row>
    <row r="25" spans="1:7" s="15" customFormat="1" ht="76.5" x14ac:dyDescent="0.25">
      <c r="A25" s="269"/>
      <c r="B25" s="270"/>
      <c r="C25" s="75">
        <v>9</v>
      </c>
      <c r="D25" s="75">
        <v>8</v>
      </c>
      <c r="E25" s="227" t="s">
        <v>104</v>
      </c>
      <c r="F25" s="125" t="s">
        <v>891</v>
      </c>
      <c r="G25" s="71" t="s">
        <v>105</v>
      </c>
    </row>
    <row r="26" spans="1:7" s="15" customFormat="1" ht="60.75" x14ac:dyDescent="0.25">
      <c r="A26" s="269"/>
      <c r="B26" s="270"/>
      <c r="C26" s="75">
        <v>7</v>
      </c>
      <c r="D26" s="75">
        <v>6</v>
      </c>
      <c r="E26" s="75" t="s">
        <v>106</v>
      </c>
      <c r="F26" s="125" t="s">
        <v>107</v>
      </c>
      <c r="G26" s="71"/>
    </row>
    <row r="27" spans="1:7" s="15" customFormat="1" ht="60.75" x14ac:dyDescent="0.25">
      <c r="A27" s="269"/>
      <c r="B27" s="270"/>
      <c r="C27" s="75">
        <v>5</v>
      </c>
      <c r="D27" s="75">
        <v>5</v>
      </c>
      <c r="E27" s="75" t="s">
        <v>108</v>
      </c>
      <c r="F27" s="125" t="s">
        <v>109</v>
      </c>
      <c r="G27" s="75"/>
    </row>
    <row r="28" spans="1:7" s="15" customFormat="1" ht="45" x14ac:dyDescent="0.25">
      <c r="A28" s="269"/>
      <c r="B28" s="270"/>
      <c r="C28" s="75">
        <v>4</v>
      </c>
      <c r="D28" s="75">
        <v>4</v>
      </c>
      <c r="E28" s="75" t="s">
        <v>110</v>
      </c>
      <c r="F28" s="71" t="s">
        <v>111</v>
      </c>
      <c r="G28" s="71"/>
    </row>
    <row r="29" spans="1:7" s="15" customFormat="1" ht="126" customHeight="1" x14ac:dyDescent="0.25">
      <c r="A29" s="269"/>
      <c r="B29" s="270"/>
      <c r="C29" s="75">
        <v>3</v>
      </c>
      <c r="D29" s="75">
        <v>3</v>
      </c>
      <c r="E29" s="71" t="s">
        <v>112</v>
      </c>
      <c r="F29" s="71" t="s">
        <v>113</v>
      </c>
      <c r="G29" s="75"/>
    </row>
    <row r="30" spans="1:7" s="15" customFormat="1" ht="94.5" customHeight="1" x14ac:dyDescent="0.25">
      <c r="A30" s="269"/>
      <c r="B30" s="270"/>
      <c r="C30" s="75">
        <v>2</v>
      </c>
      <c r="D30" s="75">
        <v>2</v>
      </c>
      <c r="E30" s="75" t="s">
        <v>114</v>
      </c>
      <c r="F30" s="71" t="s">
        <v>115</v>
      </c>
      <c r="G30" s="71"/>
    </row>
    <row r="31" spans="1:7" s="15" customFormat="1" ht="94.5" customHeight="1" x14ac:dyDescent="0.25">
      <c r="A31" s="269"/>
      <c r="B31" s="270"/>
      <c r="C31" s="75">
        <v>1</v>
      </c>
      <c r="D31" s="75">
        <v>1</v>
      </c>
      <c r="E31" s="75" t="s">
        <v>116</v>
      </c>
      <c r="F31" s="71" t="s">
        <v>117</v>
      </c>
      <c r="G31" s="71"/>
    </row>
    <row r="32" spans="1:7" s="15" customFormat="1" ht="17.25" thickBot="1" x14ac:dyDescent="0.3">
      <c r="A32" s="263"/>
      <c r="B32" s="265"/>
      <c r="C32" s="89">
        <v>0</v>
      </c>
      <c r="D32" s="89">
        <v>0</v>
      </c>
      <c r="E32" s="89" t="s">
        <v>446</v>
      </c>
      <c r="F32" s="108" t="s">
        <v>446</v>
      </c>
      <c r="G32" s="89"/>
    </row>
    <row r="33" spans="1:7" s="93" customFormat="1" ht="30.75" thickBot="1" x14ac:dyDescent="0.3">
      <c r="A33" s="90" t="s">
        <v>118</v>
      </c>
      <c r="B33" s="91" t="s">
        <v>119</v>
      </c>
      <c r="C33" s="92">
        <v>15</v>
      </c>
      <c r="D33" s="92">
        <v>8</v>
      </c>
      <c r="E33" s="92" t="s">
        <v>120</v>
      </c>
      <c r="F33" s="91" t="s">
        <v>121</v>
      </c>
      <c r="G33" s="91"/>
    </row>
    <row r="34" spans="1:7" s="96" customFormat="1" x14ac:dyDescent="0.25">
      <c r="A34" s="262">
        <v>404</v>
      </c>
      <c r="B34" s="271" t="s">
        <v>122</v>
      </c>
      <c r="C34" s="94">
        <v>15</v>
      </c>
      <c r="D34" s="94">
        <v>11</v>
      </c>
      <c r="E34" s="94" t="s">
        <v>36</v>
      </c>
      <c r="F34" s="95"/>
      <c r="G34" s="94"/>
    </row>
    <row r="35" spans="1:7" s="100" customFormat="1" ht="30" x14ac:dyDescent="0.25">
      <c r="A35" s="269"/>
      <c r="B35" s="272"/>
      <c r="C35" s="97">
        <v>10</v>
      </c>
      <c r="D35" s="97">
        <v>1</v>
      </c>
      <c r="E35" s="230" t="s">
        <v>454</v>
      </c>
      <c r="F35" s="98" t="s">
        <v>123</v>
      </c>
      <c r="G35" s="99" t="s">
        <v>460</v>
      </c>
    </row>
    <row r="36" spans="1:7" s="101" customFormat="1" ht="30.75" thickBot="1" x14ac:dyDescent="0.3">
      <c r="A36" s="263"/>
      <c r="B36" s="273"/>
      <c r="C36" s="80">
        <v>0</v>
      </c>
      <c r="D36" s="80">
        <v>0</v>
      </c>
      <c r="E36" s="231" t="s">
        <v>124</v>
      </c>
      <c r="F36" s="76" t="s">
        <v>125</v>
      </c>
      <c r="G36" s="76"/>
    </row>
    <row r="37" spans="1:7" s="100" customFormat="1" x14ac:dyDescent="0.25">
      <c r="A37" s="262" t="s">
        <v>126</v>
      </c>
      <c r="B37" s="264" t="s">
        <v>127</v>
      </c>
      <c r="C37" s="83">
        <v>15</v>
      </c>
      <c r="D37" s="83">
        <v>10</v>
      </c>
      <c r="E37" s="103" t="s">
        <v>36</v>
      </c>
      <c r="F37" s="104"/>
      <c r="G37" s="99"/>
    </row>
    <row r="38" spans="1:7" s="101" customFormat="1" ht="45.75" thickBot="1" x14ac:dyDescent="0.3">
      <c r="A38" s="263"/>
      <c r="B38" s="265"/>
      <c r="C38" s="80">
        <v>9</v>
      </c>
      <c r="D38" s="80">
        <v>0</v>
      </c>
      <c r="E38" s="232" t="s">
        <v>128</v>
      </c>
      <c r="F38" s="105" t="s">
        <v>129</v>
      </c>
      <c r="G38" s="128" t="s">
        <v>461</v>
      </c>
    </row>
    <row r="39" spans="1:7" s="96" customFormat="1" x14ac:dyDescent="0.25">
      <c r="A39" s="262">
        <v>406</v>
      </c>
      <c r="B39" s="271" t="s">
        <v>130</v>
      </c>
      <c r="C39" s="94">
        <v>15</v>
      </c>
      <c r="D39" s="94">
        <v>11</v>
      </c>
      <c r="E39" s="94" t="s">
        <v>36</v>
      </c>
      <c r="F39" s="95"/>
      <c r="G39" s="94"/>
    </row>
    <row r="40" spans="1:7" s="100" customFormat="1" ht="30" x14ac:dyDescent="0.25">
      <c r="A40" s="269"/>
      <c r="B40" s="272"/>
      <c r="C40" s="97">
        <v>10</v>
      </c>
      <c r="D40" s="97">
        <v>1</v>
      </c>
      <c r="E40" s="230" t="s">
        <v>455</v>
      </c>
      <c r="F40" s="98" t="s">
        <v>131</v>
      </c>
      <c r="G40" s="99" t="s">
        <v>460</v>
      </c>
    </row>
    <row r="41" spans="1:7" s="101" customFormat="1" ht="30.75" thickBot="1" x14ac:dyDescent="0.3">
      <c r="A41" s="263"/>
      <c r="B41" s="273"/>
      <c r="C41" s="80">
        <v>0</v>
      </c>
      <c r="D41" s="80">
        <v>0</v>
      </c>
      <c r="E41" s="231" t="s">
        <v>132</v>
      </c>
      <c r="F41" s="76" t="s">
        <v>133</v>
      </c>
      <c r="G41" s="76"/>
    </row>
    <row r="42" spans="1:7" s="100" customFormat="1" x14ac:dyDescent="0.25">
      <c r="A42" s="262" t="s">
        <v>134</v>
      </c>
      <c r="B42" s="264" t="s">
        <v>135</v>
      </c>
      <c r="C42" s="83">
        <v>15</v>
      </c>
      <c r="D42" s="83">
        <v>10</v>
      </c>
      <c r="E42" s="103" t="s">
        <v>36</v>
      </c>
      <c r="F42" s="104"/>
      <c r="G42" s="99"/>
    </row>
    <row r="43" spans="1:7" s="101" customFormat="1" ht="45.75" thickBot="1" x14ac:dyDescent="0.3">
      <c r="A43" s="263"/>
      <c r="B43" s="265"/>
      <c r="C43" s="80">
        <v>9</v>
      </c>
      <c r="D43" s="80">
        <v>0</v>
      </c>
      <c r="E43" s="232" t="s">
        <v>136</v>
      </c>
      <c r="F43" s="105" t="s">
        <v>137</v>
      </c>
      <c r="G43" s="128" t="s">
        <v>459</v>
      </c>
    </row>
    <row r="44" spans="1:7" s="107" customFormat="1" ht="17.25" thickBot="1" x14ac:dyDescent="0.3">
      <c r="A44" s="77" t="s">
        <v>138</v>
      </c>
      <c r="B44" s="88" t="s">
        <v>139</v>
      </c>
      <c r="C44" s="88">
        <v>15</v>
      </c>
      <c r="D44" s="88">
        <v>0</v>
      </c>
      <c r="E44" s="88" t="s">
        <v>37</v>
      </c>
      <c r="F44" s="106" t="s">
        <v>37</v>
      </c>
      <c r="G44" s="106" t="s">
        <v>140</v>
      </c>
    </row>
    <row r="45" spans="1:7" s="82" customFormat="1" ht="45" x14ac:dyDescent="0.25">
      <c r="A45" s="262" t="s">
        <v>141</v>
      </c>
      <c r="B45" s="264" t="s">
        <v>142</v>
      </c>
      <c r="C45" s="68">
        <v>15</v>
      </c>
      <c r="D45" s="68">
        <v>15</v>
      </c>
      <c r="E45" s="68" t="s">
        <v>143</v>
      </c>
      <c r="F45" s="81" t="s">
        <v>144</v>
      </c>
      <c r="G45" s="68"/>
    </row>
    <row r="46" spans="1:7" s="16" customFormat="1" ht="45.75" thickBot="1" x14ac:dyDescent="0.3">
      <c r="A46" s="270"/>
      <c r="B46" s="265"/>
      <c r="C46" s="89">
        <v>14</v>
      </c>
      <c r="D46" s="89">
        <v>0</v>
      </c>
      <c r="E46" s="89" t="s">
        <v>145</v>
      </c>
      <c r="F46" s="108" t="s">
        <v>146</v>
      </c>
      <c r="G46" s="89"/>
    </row>
    <row r="47" spans="1:7" s="16" customFormat="1" x14ac:dyDescent="0.25">
      <c r="A47" s="280" t="s">
        <v>147</v>
      </c>
      <c r="B47" s="282" t="s">
        <v>148</v>
      </c>
      <c r="C47" s="68">
        <v>15</v>
      </c>
      <c r="D47" s="68">
        <v>8</v>
      </c>
      <c r="E47" s="68" t="s">
        <v>37</v>
      </c>
      <c r="F47" s="81"/>
      <c r="G47" s="68"/>
    </row>
    <row r="48" spans="1:7" s="109" customFormat="1" ht="45.75" thickBot="1" x14ac:dyDescent="0.3">
      <c r="A48" s="281"/>
      <c r="B48" s="283"/>
      <c r="C48" s="79">
        <v>7</v>
      </c>
      <c r="D48" s="79">
        <v>0</v>
      </c>
      <c r="E48" s="79" t="s">
        <v>149</v>
      </c>
      <c r="F48" s="73" t="s">
        <v>150</v>
      </c>
      <c r="G48" s="79"/>
    </row>
    <row r="49" spans="1:7" s="112" customFormat="1" ht="17.25" thickBot="1" x14ac:dyDescent="0.3">
      <c r="A49" s="269" t="s">
        <v>151</v>
      </c>
      <c r="B49" s="264" t="s">
        <v>152</v>
      </c>
      <c r="C49" s="110">
        <v>15</v>
      </c>
      <c r="D49" s="110">
        <v>15</v>
      </c>
      <c r="E49" s="110" t="s">
        <v>153</v>
      </c>
      <c r="F49" s="111" t="s">
        <v>154</v>
      </c>
      <c r="G49" s="111"/>
    </row>
    <row r="50" spans="1:7" s="112" customFormat="1" ht="17.25" thickBot="1" x14ac:dyDescent="0.3">
      <c r="A50" s="269"/>
      <c r="B50" s="272"/>
      <c r="C50" s="84">
        <v>14</v>
      </c>
      <c r="D50" s="84">
        <v>14</v>
      </c>
      <c r="E50" s="84" t="s">
        <v>155</v>
      </c>
      <c r="F50" s="85" t="s">
        <v>156</v>
      </c>
      <c r="G50" s="119"/>
    </row>
    <row r="51" spans="1:7" s="112" customFormat="1" ht="17.25" thickBot="1" x14ac:dyDescent="0.3">
      <c r="A51" s="269"/>
      <c r="B51" s="272"/>
      <c r="C51" s="84">
        <v>13</v>
      </c>
      <c r="D51" s="84">
        <v>13</v>
      </c>
      <c r="E51" s="84" t="s">
        <v>157</v>
      </c>
      <c r="F51" s="85" t="s">
        <v>158</v>
      </c>
      <c r="G51" s="119"/>
    </row>
    <row r="52" spans="1:7" s="112" customFormat="1" ht="17.25" thickBot="1" x14ac:dyDescent="0.3">
      <c r="A52" s="269"/>
      <c r="B52" s="272"/>
      <c r="C52" s="84">
        <v>12</v>
      </c>
      <c r="D52" s="84">
        <v>12</v>
      </c>
      <c r="E52" s="84" t="s">
        <v>36</v>
      </c>
      <c r="F52" s="85"/>
      <c r="G52" s="119"/>
    </row>
    <row r="53" spans="1:7" s="112" customFormat="1" ht="17.25" thickBot="1" x14ac:dyDescent="0.3">
      <c r="A53" s="269"/>
      <c r="B53" s="270"/>
      <c r="C53" s="83">
        <v>11</v>
      </c>
      <c r="D53" s="83">
        <v>0</v>
      </c>
      <c r="E53" s="83" t="s">
        <v>159</v>
      </c>
      <c r="F53" s="99" t="s">
        <v>160</v>
      </c>
      <c r="G53" s="83"/>
    </row>
    <row r="54" spans="1:7" s="118" customFormat="1" ht="17.25" thickBot="1" x14ac:dyDescent="0.3">
      <c r="A54" s="113" t="s">
        <v>161</v>
      </c>
      <c r="B54" s="114" t="s">
        <v>162</v>
      </c>
      <c r="C54" s="115">
        <v>15</v>
      </c>
      <c r="D54" s="116">
        <v>0</v>
      </c>
      <c r="E54" s="116" t="s">
        <v>163</v>
      </c>
      <c r="F54" s="117" t="s">
        <v>164</v>
      </c>
      <c r="G54" s="116"/>
    </row>
    <row r="55" spans="1:7" s="82" customFormat="1" x14ac:dyDescent="0.25">
      <c r="A55" s="269" t="s">
        <v>165</v>
      </c>
      <c r="B55" s="270" t="s">
        <v>166</v>
      </c>
      <c r="C55" s="68">
        <v>15</v>
      </c>
      <c r="D55" s="68">
        <v>15</v>
      </c>
      <c r="E55" s="110" t="s">
        <v>167</v>
      </c>
      <c r="F55" s="81" t="s">
        <v>168</v>
      </c>
      <c r="G55" s="81"/>
    </row>
    <row r="56" spans="1:7" s="16" customFormat="1" x14ac:dyDescent="0.25">
      <c r="A56" s="269"/>
      <c r="B56" s="270"/>
      <c r="C56" s="75">
        <v>14</v>
      </c>
      <c r="D56" s="75">
        <v>14</v>
      </c>
      <c r="E56" s="84" t="s">
        <v>169</v>
      </c>
      <c r="F56" s="71" t="s">
        <v>170</v>
      </c>
      <c r="G56" s="75"/>
    </row>
    <row r="57" spans="1:7" s="16" customFormat="1" x14ac:dyDescent="0.25">
      <c r="A57" s="269"/>
      <c r="B57" s="270"/>
      <c r="C57" s="79">
        <v>13</v>
      </c>
      <c r="D57" s="79">
        <v>13</v>
      </c>
      <c r="E57" s="84" t="s">
        <v>171</v>
      </c>
      <c r="F57" s="73" t="s">
        <v>172</v>
      </c>
      <c r="G57" s="79"/>
    </row>
    <row r="58" spans="1:7" s="16" customFormat="1" x14ac:dyDescent="0.25">
      <c r="A58" s="269"/>
      <c r="B58" s="272"/>
      <c r="C58" s="119">
        <v>12</v>
      </c>
      <c r="D58" s="120">
        <v>12</v>
      </c>
      <c r="E58" s="86" t="s">
        <v>36</v>
      </c>
      <c r="F58" s="85"/>
      <c r="G58" s="75"/>
    </row>
    <row r="59" spans="1:7" s="16" customFormat="1" ht="17.25" thickBot="1" x14ac:dyDescent="0.3">
      <c r="A59" s="263"/>
      <c r="B59" s="265"/>
      <c r="C59" s="88">
        <v>11</v>
      </c>
      <c r="D59" s="88">
        <v>0</v>
      </c>
      <c r="E59" s="83" t="s">
        <v>173</v>
      </c>
      <c r="F59" s="99" t="s">
        <v>174</v>
      </c>
      <c r="G59" s="83"/>
    </row>
    <row r="60" spans="1:7" s="16" customFormat="1" ht="17.25" thickBot="1" x14ac:dyDescent="0.3">
      <c r="A60" s="90" t="s">
        <v>175</v>
      </c>
      <c r="B60" s="92" t="s">
        <v>176</v>
      </c>
      <c r="C60" s="92">
        <v>15</v>
      </c>
      <c r="D60" s="92">
        <v>0</v>
      </c>
      <c r="E60" s="116" t="s">
        <v>177</v>
      </c>
      <c r="F60" s="91" t="s">
        <v>178</v>
      </c>
      <c r="G60" s="92"/>
    </row>
    <row r="61" spans="1:7" s="121" customFormat="1" ht="17.25" thickBot="1" x14ac:dyDescent="0.3">
      <c r="A61" s="90" t="s">
        <v>179</v>
      </c>
      <c r="B61" s="89" t="s">
        <v>180</v>
      </c>
      <c r="C61" s="92">
        <v>15</v>
      </c>
      <c r="D61" s="92">
        <v>0</v>
      </c>
      <c r="E61" s="92" t="s">
        <v>181</v>
      </c>
      <c r="F61" s="91" t="s">
        <v>37</v>
      </c>
      <c r="G61" s="91"/>
    </row>
    <row r="62" spans="1:7" s="121" customFormat="1" ht="17.25" thickBot="1" x14ac:dyDescent="0.3">
      <c r="A62" s="90" t="s">
        <v>182</v>
      </c>
      <c r="B62" s="92" t="s">
        <v>183</v>
      </c>
      <c r="C62" s="92">
        <v>15</v>
      </c>
      <c r="D62" s="92">
        <v>0</v>
      </c>
      <c r="E62" s="92" t="s">
        <v>184</v>
      </c>
      <c r="F62" s="91" t="s">
        <v>37</v>
      </c>
      <c r="G62" s="92"/>
    </row>
    <row r="63" spans="1:7" s="121" customFormat="1" ht="75.75" thickBot="1" x14ac:dyDescent="0.3">
      <c r="A63" s="262" t="s">
        <v>185</v>
      </c>
      <c r="B63" s="264" t="s">
        <v>186</v>
      </c>
      <c r="C63" s="92">
        <v>15</v>
      </c>
      <c r="D63" s="92">
        <v>15</v>
      </c>
      <c r="E63" s="92" t="s">
        <v>187</v>
      </c>
      <c r="F63" s="91" t="s">
        <v>188</v>
      </c>
      <c r="G63" s="92"/>
    </row>
    <row r="64" spans="1:7" s="121" customFormat="1" ht="17.25" thickBot="1" x14ac:dyDescent="0.3">
      <c r="A64" s="284"/>
      <c r="B64" s="284"/>
      <c r="C64" s="92">
        <v>14</v>
      </c>
      <c r="D64" s="92">
        <v>14</v>
      </c>
      <c r="E64" s="92" t="s">
        <v>189</v>
      </c>
      <c r="F64" s="91" t="s">
        <v>190</v>
      </c>
      <c r="G64" s="92"/>
    </row>
    <row r="65" spans="1:7" s="121" customFormat="1" ht="75.75" thickBot="1" x14ac:dyDescent="0.3">
      <c r="A65" s="284"/>
      <c r="B65" s="284"/>
      <c r="C65" s="92">
        <v>13</v>
      </c>
      <c r="D65" s="92">
        <v>12</v>
      </c>
      <c r="E65" s="92" t="s">
        <v>191</v>
      </c>
      <c r="F65" s="91" t="s">
        <v>192</v>
      </c>
      <c r="G65" s="92"/>
    </row>
    <row r="66" spans="1:7" s="121" customFormat="1" ht="17.25" thickBot="1" x14ac:dyDescent="0.3">
      <c r="A66" s="284"/>
      <c r="B66" s="284"/>
      <c r="C66" s="92">
        <v>11</v>
      </c>
      <c r="D66" s="92">
        <v>11</v>
      </c>
      <c r="E66" s="92" t="s">
        <v>193</v>
      </c>
      <c r="F66" s="91" t="s">
        <v>194</v>
      </c>
      <c r="G66" s="92"/>
    </row>
    <row r="67" spans="1:7" s="121" customFormat="1" ht="75.75" thickBot="1" x14ac:dyDescent="0.3">
      <c r="A67" s="284"/>
      <c r="B67" s="284"/>
      <c r="C67" s="92">
        <v>10</v>
      </c>
      <c r="D67" s="92">
        <v>9</v>
      </c>
      <c r="E67" s="92" t="s">
        <v>195</v>
      </c>
      <c r="F67" s="91" t="s">
        <v>196</v>
      </c>
      <c r="G67" s="92"/>
    </row>
    <row r="68" spans="1:7" s="121" customFormat="1" ht="17.25" thickBot="1" x14ac:dyDescent="0.3">
      <c r="A68" s="284"/>
      <c r="B68" s="284"/>
      <c r="C68" s="92">
        <v>8</v>
      </c>
      <c r="D68" s="92">
        <v>8</v>
      </c>
      <c r="E68" s="92" t="s">
        <v>197</v>
      </c>
      <c r="F68" s="91" t="s">
        <v>198</v>
      </c>
      <c r="G68" s="92"/>
    </row>
    <row r="69" spans="1:7" s="121" customFormat="1" ht="75.75" thickBot="1" x14ac:dyDescent="0.3">
      <c r="A69" s="284"/>
      <c r="B69" s="284"/>
      <c r="C69" s="92">
        <v>7</v>
      </c>
      <c r="D69" s="92">
        <v>6</v>
      </c>
      <c r="E69" s="92" t="s">
        <v>199</v>
      </c>
      <c r="F69" s="91" t="s">
        <v>200</v>
      </c>
      <c r="G69" s="92"/>
    </row>
    <row r="70" spans="1:7" s="121" customFormat="1" ht="17.25" thickBot="1" x14ac:dyDescent="0.3">
      <c r="A70" s="284"/>
      <c r="B70" s="284"/>
      <c r="C70" s="92">
        <v>5</v>
      </c>
      <c r="D70" s="92">
        <v>5</v>
      </c>
      <c r="E70" s="92" t="s">
        <v>201</v>
      </c>
      <c r="F70" s="91" t="s">
        <v>202</v>
      </c>
      <c r="G70" s="92"/>
    </row>
    <row r="71" spans="1:7" s="121" customFormat="1" ht="75.75" thickBot="1" x14ac:dyDescent="0.3">
      <c r="A71" s="284"/>
      <c r="B71" s="284"/>
      <c r="C71" s="92">
        <v>4</v>
      </c>
      <c r="D71" s="92">
        <v>3</v>
      </c>
      <c r="E71" s="92" t="s">
        <v>203</v>
      </c>
      <c r="F71" s="91" t="s">
        <v>204</v>
      </c>
      <c r="G71" s="92"/>
    </row>
    <row r="72" spans="1:7" s="121" customFormat="1" ht="17.25" thickBot="1" x14ac:dyDescent="0.3">
      <c r="A72" s="284"/>
      <c r="B72" s="284"/>
      <c r="C72" s="92">
        <v>2</v>
      </c>
      <c r="D72" s="92">
        <v>2</v>
      </c>
      <c r="E72" s="92" t="s">
        <v>205</v>
      </c>
      <c r="F72" s="91" t="s">
        <v>206</v>
      </c>
      <c r="G72" s="92"/>
    </row>
    <row r="73" spans="1:7" s="121" customFormat="1" ht="75.75" thickBot="1" x14ac:dyDescent="0.3">
      <c r="A73" s="285"/>
      <c r="B73" s="285"/>
      <c r="C73" s="92">
        <v>1</v>
      </c>
      <c r="D73" s="92">
        <v>0</v>
      </c>
      <c r="E73" s="92" t="s">
        <v>207</v>
      </c>
      <c r="F73" s="91" t="s">
        <v>208</v>
      </c>
      <c r="G73" s="92"/>
    </row>
    <row r="74" spans="1:7" s="121" customFormat="1" ht="75.75" thickBot="1" x14ac:dyDescent="0.3">
      <c r="A74" s="262" t="s">
        <v>209</v>
      </c>
      <c r="B74" s="264" t="s">
        <v>210</v>
      </c>
      <c r="C74" s="92">
        <v>15</v>
      </c>
      <c r="D74" s="92">
        <v>14</v>
      </c>
      <c r="E74" s="92" t="s">
        <v>211</v>
      </c>
      <c r="F74" s="91" t="s">
        <v>212</v>
      </c>
      <c r="G74" s="92"/>
    </row>
    <row r="75" spans="1:7" s="100" customFormat="1" ht="17.25" thickBot="1" x14ac:dyDescent="0.3">
      <c r="A75" s="284"/>
      <c r="B75" s="284"/>
      <c r="C75" s="88">
        <v>13</v>
      </c>
      <c r="D75" s="88">
        <v>13</v>
      </c>
      <c r="E75" s="92" t="s">
        <v>213</v>
      </c>
      <c r="F75" s="91" t="s">
        <v>214</v>
      </c>
      <c r="G75" s="92"/>
    </row>
    <row r="76" spans="1:7" s="100" customFormat="1" ht="75.75" thickBot="1" x14ac:dyDescent="0.3">
      <c r="A76" s="284"/>
      <c r="B76" s="284"/>
      <c r="C76" s="88">
        <v>12</v>
      </c>
      <c r="D76" s="88">
        <v>11</v>
      </c>
      <c r="E76" s="92" t="s">
        <v>215</v>
      </c>
      <c r="F76" s="91" t="s">
        <v>216</v>
      </c>
      <c r="G76" s="92"/>
    </row>
    <row r="77" spans="1:7" s="100" customFormat="1" ht="17.25" thickBot="1" x14ac:dyDescent="0.3">
      <c r="A77" s="284"/>
      <c r="B77" s="284"/>
      <c r="C77" s="88">
        <v>10</v>
      </c>
      <c r="D77" s="88">
        <v>10</v>
      </c>
      <c r="E77" s="92" t="s">
        <v>217</v>
      </c>
      <c r="F77" s="91" t="s">
        <v>218</v>
      </c>
      <c r="G77" s="92"/>
    </row>
    <row r="78" spans="1:7" s="100" customFormat="1" ht="75.75" thickBot="1" x14ac:dyDescent="0.3">
      <c r="A78" s="284"/>
      <c r="B78" s="284"/>
      <c r="C78" s="88">
        <v>9</v>
      </c>
      <c r="D78" s="88">
        <v>8</v>
      </c>
      <c r="E78" s="92" t="s">
        <v>219</v>
      </c>
      <c r="F78" s="91" t="s">
        <v>220</v>
      </c>
      <c r="G78" s="92"/>
    </row>
    <row r="79" spans="1:7" s="100" customFormat="1" ht="17.25" thickBot="1" x14ac:dyDescent="0.3">
      <c r="A79" s="284"/>
      <c r="B79" s="284"/>
      <c r="C79" s="88">
        <v>7</v>
      </c>
      <c r="D79" s="88">
        <v>7</v>
      </c>
      <c r="E79" s="92" t="s">
        <v>221</v>
      </c>
      <c r="F79" s="91" t="s">
        <v>222</v>
      </c>
      <c r="G79" s="92"/>
    </row>
    <row r="80" spans="1:7" s="100" customFormat="1" ht="75.75" thickBot="1" x14ac:dyDescent="0.3">
      <c r="A80" s="284"/>
      <c r="B80" s="284"/>
      <c r="C80" s="88">
        <v>6</v>
      </c>
      <c r="D80" s="88">
        <v>5</v>
      </c>
      <c r="E80" s="92" t="s">
        <v>223</v>
      </c>
      <c r="F80" s="91" t="s">
        <v>224</v>
      </c>
      <c r="G80" s="92"/>
    </row>
    <row r="81" spans="1:7" s="100" customFormat="1" ht="17.25" thickBot="1" x14ac:dyDescent="0.3">
      <c r="A81" s="284"/>
      <c r="B81" s="284"/>
      <c r="C81" s="88">
        <v>4</v>
      </c>
      <c r="D81" s="88">
        <v>4</v>
      </c>
      <c r="E81" s="92" t="s">
        <v>225</v>
      </c>
      <c r="F81" s="91" t="s">
        <v>226</v>
      </c>
      <c r="G81" s="92"/>
    </row>
    <row r="82" spans="1:7" s="100" customFormat="1" ht="75.75" thickBot="1" x14ac:dyDescent="0.3">
      <c r="A82" s="284"/>
      <c r="B82" s="284"/>
      <c r="C82" s="88">
        <v>3</v>
      </c>
      <c r="D82" s="88">
        <v>2</v>
      </c>
      <c r="E82" s="92" t="s">
        <v>227</v>
      </c>
      <c r="F82" s="91" t="s">
        <v>228</v>
      </c>
      <c r="G82" s="92"/>
    </row>
    <row r="83" spans="1:7" s="100" customFormat="1" ht="17.25" thickBot="1" x14ac:dyDescent="0.3">
      <c r="A83" s="284"/>
      <c r="B83" s="284"/>
      <c r="C83" s="88">
        <v>1</v>
      </c>
      <c r="D83" s="88">
        <v>1</v>
      </c>
      <c r="E83" s="92" t="s">
        <v>229</v>
      </c>
      <c r="F83" s="91" t="s">
        <v>230</v>
      </c>
      <c r="G83" s="92"/>
    </row>
    <row r="84" spans="1:7" s="100" customFormat="1" ht="17.25" thickBot="1" x14ac:dyDescent="0.3">
      <c r="A84" s="285"/>
      <c r="B84" s="285"/>
      <c r="C84" s="88">
        <v>0</v>
      </c>
      <c r="D84" s="88">
        <v>0</v>
      </c>
      <c r="E84" s="92" t="s">
        <v>231</v>
      </c>
      <c r="F84" s="91" t="s">
        <v>232</v>
      </c>
      <c r="G84" s="92"/>
    </row>
    <row r="85" spans="1:7" s="16" customFormat="1" ht="17.25" thickBot="1" x14ac:dyDescent="0.3">
      <c r="A85" s="262" t="s">
        <v>233</v>
      </c>
      <c r="B85" s="264" t="s">
        <v>234</v>
      </c>
      <c r="C85" s="89">
        <v>15</v>
      </c>
      <c r="D85" s="89">
        <v>13</v>
      </c>
      <c r="E85" s="92" t="s">
        <v>235</v>
      </c>
      <c r="F85" s="91" t="s">
        <v>236</v>
      </c>
      <c r="G85" s="92"/>
    </row>
    <row r="86" spans="1:7" s="16" customFormat="1" ht="17.25" thickBot="1" x14ac:dyDescent="0.3">
      <c r="A86" s="284"/>
      <c r="B86" s="284"/>
      <c r="C86" s="88">
        <v>12</v>
      </c>
      <c r="D86" s="88">
        <v>10</v>
      </c>
      <c r="E86" s="92" t="s">
        <v>14</v>
      </c>
      <c r="F86" s="91" t="s">
        <v>37</v>
      </c>
      <c r="G86" s="92"/>
    </row>
    <row r="87" spans="1:7" s="16" customFormat="1" ht="17.25" thickBot="1" x14ac:dyDescent="0.3">
      <c r="A87" s="284"/>
      <c r="B87" s="284"/>
      <c r="C87" s="88">
        <v>9</v>
      </c>
      <c r="D87" s="88">
        <v>9</v>
      </c>
      <c r="E87" s="92" t="s">
        <v>237</v>
      </c>
      <c r="F87" s="91" t="s">
        <v>238</v>
      </c>
      <c r="G87" s="92"/>
    </row>
    <row r="88" spans="1:7" s="16" customFormat="1" ht="17.25" thickBot="1" x14ac:dyDescent="0.3">
      <c r="A88" s="284"/>
      <c r="B88" s="284"/>
      <c r="C88" s="88">
        <v>8</v>
      </c>
      <c r="D88" s="88">
        <v>8</v>
      </c>
      <c r="E88" s="92" t="s">
        <v>239</v>
      </c>
      <c r="F88" s="91" t="s">
        <v>240</v>
      </c>
      <c r="G88" s="92"/>
    </row>
    <row r="89" spans="1:7" s="16" customFormat="1" ht="17.25" thickBot="1" x14ac:dyDescent="0.3">
      <c r="A89" s="284"/>
      <c r="B89" s="284"/>
      <c r="C89" s="88">
        <v>7</v>
      </c>
      <c r="D89" s="88">
        <v>7</v>
      </c>
      <c r="E89" s="92" t="s">
        <v>241</v>
      </c>
      <c r="F89" s="91" t="s">
        <v>242</v>
      </c>
      <c r="G89" s="92"/>
    </row>
    <row r="90" spans="1:7" s="16" customFormat="1" ht="17.25" thickBot="1" x14ac:dyDescent="0.3">
      <c r="A90" s="284"/>
      <c r="B90" s="284"/>
      <c r="C90" s="88">
        <v>6</v>
      </c>
      <c r="D90" s="88">
        <v>6</v>
      </c>
      <c r="E90" s="92" t="s">
        <v>243</v>
      </c>
      <c r="F90" s="91" t="s">
        <v>244</v>
      </c>
      <c r="G90" s="92"/>
    </row>
    <row r="91" spans="1:7" s="16" customFormat="1" ht="75.75" thickBot="1" x14ac:dyDescent="0.3">
      <c r="A91" s="284"/>
      <c r="B91" s="284"/>
      <c r="C91" s="88">
        <v>5</v>
      </c>
      <c r="D91" s="88">
        <v>4</v>
      </c>
      <c r="E91" s="92" t="s">
        <v>245</v>
      </c>
      <c r="F91" s="91" t="s">
        <v>246</v>
      </c>
      <c r="G91" s="92"/>
    </row>
    <row r="92" spans="1:7" s="16" customFormat="1" ht="17.25" thickBot="1" x14ac:dyDescent="0.3">
      <c r="A92" s="284"/>
      <c r="B92" s="284"/>
      <c r="C92" s="88">
        <v>3</v>
      </c>
      <c r="D92" s="88">
        <v>3</v>
      </c>
      <c r="E92" s="92" t="s">
        <v>247</v>
      </c>
      <c r="F92" s="91" t="s">
        <v>248</v>
      </c>
      <c r="G92" s="92"/>
    </row>
    <row r="93" spans="1:7" s="16" customFormat="1" ht="75.75" thickBot="1" x14ac:dyDescent="0.3">
      <c r="A93" s="284"/>
      <c r="B93" s="284"/>
      <c r="C93" s="88">
        <v>2</v>
      </c>
      <c r="D93" s="88">
        <v>1</v>
      </c>
      <c r="E93" s="92" t="s">
        <v>249</v>
      </c>
      <c r="F93" s="91" t="s">
        <v>250</v>
      </c>
      <c r="G93" s="92"/>
    </row>
    <row r="94" spans="1:7" s="16" customFormat="1" ht="17.25" thickBot="1" x14ac:dyDescent="0.3">
      <c r="A94" s="285"/>
      <c r="B94" s="285"/>
      <c r="C94" s="88">
        <v>0</v>
      </c>
      <c r="D94" s="88">
        <v>0</v>
      </c>
      <c r="E94" s="92" t="s">
        <v>251</v>
      </c>
      <c r="F94" s="91" t="s">
        <v>252</v>
      </c>
      <c r="G94" s="92"/>
    </row>
    <row r="95" spans="1:7" s="82" customFormat="1" ht="30.75" thickBot="1" x14ac:dyDescent="0.3">
      <c r="A95" s="90" t="s">
        <v>253</v>
      </c>
      <c r="B95" s="92" t="s">
        <v>254</v>
      </c>
      <c r="C95" s="68">
        <v>15</v>
      </c>
      <c r="D95" s="68">
        <v>15</v>
      </c>
      <c r="E95" s="110" t="s">
        <v>255</v>
      </c>
      <c r="F95" s="81" t="s">
        <v>256</v>
      </c>
      <c r="G95" s="81" t="s">
        <v>257</v>
      </c>
    </row>
    <row r="96" spans="1:7" s="16" customFormat="1" ht="17.25" thickBot="1" x14ac:dyDescent="0.3">
      <c r="A96" s="90"/>
      <c r="B96" s="92"/>
      <c r="C96" s="75">
        <v>14</v>
      </c>
      <c r="D96" s="75">
        <v>14</v>
      </c>
      <c r="E96" s="84" t="s">
        <v>258</v>
      </c>
      <c r="F96" s="71" t="s">
        <v>259</v>
      </c>
      <c r="G96" s="75"/>
    </row>
    <row r="97" spans="1:7" s="16" customFormat="1" ht="17.25" thickBot="1" x14ac:dyDescent="0.3">
      <c r="A97" s="90"/>
      <c r="B97" s="92"/>
      <c r="C97" s="79">
        <v>13</v>
      </c>
      <c r="D97" s="79">
        <v>13</v>
      </c>
      <c r="E97" s="84" t="s">
        <v>260</v>
      </c>
      <c r="F97" s="73" t="s">
        <v>261</v>
      </c>
      <c r="G97" s="79"/>
    </row>
    <row r="98" spans="1:7" s="16" customFormat="1" ht="17.25" thickBot="1" x14ac:dyDescent="0.3">
      <c r="A98" s="90"/>
      <c r="B98" s="92"/>
      <c r="C98" s="119">
        <v>12</v>
      </c>
      <c r="D98" s="120">
        <v>12</v>
      </c>
      <c r="E98" s="86" t="s">
        <v>36</v>
      </c>
      <c r="F98" s="85"/>
      <c r="G98" s="75"/>
    </row>
    <row r="99" spans="1:7" s="16" customFormat="1" ht="17.25" thickBot="1" x14ac:dyDescent="0.3">
      <c r="A99" s="90"/>
      <c r="B99" s="92"/>
      <c r="C99" s="88">
        <v>11</v>
      </c>
      <c r="D99" s="88">
        <v>0</v>
      </c>
      <c r="E99" s="83" t="s">
        <v>262</v>
      </c>
      <c r="F99" s="99" t="s">
        <v>263</v>
      </c>
      <c r="G99" s="83"/>
    </row>
    <row r="100" spans="1:7" s="16" customFormat="1" ht="17.25" thickBot="1" x14ac:dyDescent="0.3">
      <c r="A100" s="90" t="s">
        <v>264</v>
      </c>
      <c r="B100" s="102" t="s">
        <v>265</v>
      </c>
      <c r="C100" s="92">
        <v>15</v>
      </c>
      <c r="D100" s="92">
        <v>0</v>
      </c>
      <c r="E100" s="116" t="s">
        <v>266</v>
      </c>
      <c r="F100" s="91" t="s">
        <v>267</v>
      </c>
      <c r="G100" s="92"/>
    </row>
    <row r="101" spans="1:7" s="16" customFormat="1" ht="17.25" thickBot="1" x14ac:dyDescent="0.3">
      <c r="A101" s="90" t="s">
        <v>268</v>
      </c>
      <c r="B101" s="92" t="s">
        <v>269</v>
      </c>
      <c r="C101" s="92">
        <v>15</v>
      </c>
      <c r="D101" s="92">
        <v>0</v>
      </c>
      <c r="E101" s="92" t="s">
        <v>14</v>
      </c>
      <c r="F101" s="91" t="s">
        <v>37</v>
      </c>
      <c r="G101" s="91" t="s">
        <v>270</v>
      </c>
    </row>
    <row r="102" spans="1:7" s="16" customFormat="1" ht="17.25" thickBot="1" x14ac:dyDescent="0.3">
      <c r="A102" s="262" t="s">
        <v>271</v>
      </c>
      <c r="B102" s="264" t="s">
        <v>272</v>
      </c>
      <c r="C102" s="92">
        <v>15</v>
      </c>
      <c r="D102" s="92">
        <v>10</v>
      </c>
      <c r="E102" s="92" t="s">
        <v>14</v>
      </c>
      <c r="F102" s="91" t="s">
        <v>37</v>
      </c>
      <c r="G102" s="91"/>
    </row>
    <row r="103" spans="1:7" s="16" customFormat="1" ht="30.75" thickBot="1" x14ac:dyDescent="0.3">
      <c r="A103" s="269"/>
      <c r="B103" s="270"/>
      <c r="C103" s="92">
        <v>9</v>
      </c>
      <c r="D103" s="92">
        <v>9</v>
      </c>
      <c r="E103" s="92" t="s">
        <v>273</v>
      </c>
      <c r="F103" s="91" t="s">
        <v>274</v>
      </c>
      <c r="G103" s="91"/>
    </row>
    <row r="104" spans="1:7" s="16" customFormat="1" ht="30.75" thickBot="1" x14ac:dyDescent="0.3">
      <c r="A104" s="269"/>
      <c r="B104" s="270"/>
      <c r="C104" s="92">
        <v>8</v>
      </c>
      <c r="D104" s="91">
        <v>8</v>
      </c>
      <c r="E104" s="92" t="s">
        <v>275</v>
      </c>
      <c r="F104" s="91" t="s">
        <v>274</v>
      </c>
      <c r="G104" s="91"/>
    </row>
    <row r="105" spans="1:7" s="16" customFormat="1" ht="30.75" thickBot="1" x14ac:dyDescent="0.3">
      <c r="A105" s="284"/>
      <c r="B105" s="284"/>
      <c r="C105" s="92">
        <v>7</v>
      </c>
      <c r="D105" s="92">
        <v>6</v>
      </c>
      <c r="E105" s="92" t="s">
        <v>276</v>
      </c>
      <c r="F105" s="91" t="s">
        <v>277</v>
      </c>
      <c r="G105" s="91"/>
    </row>
    <row r="106" spans="1:7" s="16" customFormat="1" ht="30.75" thickBot="1" x14ac:dyDescent="0.3">
      <c r="A106" s="284"/>
      <c r="B106" s="284"/>
      <c r="C106" s="92">
        <v>5</v>
      </c>
      <c r="D106" s="92">
        <v>4</v>
      </c>
      <c r="E106" s="92" t="s">
        <v>278</v>
      </c>
      <c r="F106" s="91" t="s">
        <v>277</v>
      </c>
      <c r="G106" s="91"/>
    </row>
    <row r="107" spans="1:7" s="16" customFormat="1" ht="17.25" thickBot="1" x14ac:dyDescent="0.3">
      <c r="A107" s="284"/>
      <c r="B107" s="284"/>
      <c r="C107" s="92">
        <v>3</v>
      </c>
      <c r="D107" s="92">
        <v>2</v>
      </c>
      <c r="E107" s="92" t="s">
        <v>279</v>
      </c>
      <c r="F107" s="91" t="s">
        <v>280</v>
      </c>
      <c r="G107" s="91"/>
    </row>
    <row r="108" spans="1:7" s="16" customFormat="1" ht="30.75" thickBot="1" x14ac:dyDescent="0.3">
      <c r="A108" s="284"/>
      <c r="B108" s="284"/>
      <c r="C108" s="92">
        <v>1</v>
      </c>
      <c r="D108" s="92">
        <v>1</v>
      </c>
      <c r="E108" s="92" t="s">
        <v>281</v>
      </c>
      <c r="F108" s="91" t="s">
        <v>282</v>
      </c>
      <c r="G108" s="91"/>
    </row>
    <row r="109" spans="1:7" s="16" customFormat="1" ht="45.75" thickBot="1" x14ac:dyDescent="0.3">
      <c r="A109" s="285"/>
      <c r="B109" s="285"/>
      <c r="C109" s="92">
        <v>0</v>
      </c>
      <c r="D109" s="92">
        <v>0</v>
      </c>
      <c r="E109" s="92" t="s">
        <v>283</v>
      </c>
      <c r="F109" s="91" t="s">
        <v>284</v>
      </c>
      <c r="G109" s="91"/>
    </row>
    <row r="110" spans="1:7" s="16" customFormat="1" ht="90.75" thickBot="1" x14ac:dyDescent="0.3">
      <c r="A110" s="274" t="s">
        <v>285</v>
      </c>
      <c r="B110" s="277" t="s">
        <v>286</v>
      </c>
      <c r="C110" s="92">
        <v>15</v>
      </c>
      <c r="D110" s="92">
        <v>12</v>
      </c>
      <c r="E110" s="92" t="s">
        <v>287</v>
      </c>
      <c r="F110" s="91" t="s">
        <v>288</v>
      </c>
      <c r="G110" s="91"/>
    </row>
    <row r="111" spans="1:7" s="16" customFormat="1" ht="17.25" thickBot="1" x14ac:dyDescent="0.3">
      <c r="A111" s="275"/>
      <c r="B111" s="278"/>
      <c r="C111" s="92">
        <v>11</v>
      </c>
      <c r="D111" s="92">
        <v>11</v>
      </c>
      <c r="E111" s="92" t="s">
        <v>289</v>
      </c>
      <c r="F111" s="91" t="s">
        <v>290</v>
      </c>
      <c r="G111" s="91"/>
    </row>
    <row r="112" spans="1:7" s="16" customFormat="1" ht="17.25" thickBot="1" x14ac:dyDescent="0.3">
      <c r="A112" s="275"/>
      <c r="B112" s="278"/>
      <c r="C112" s="92">
        <v>10</v>
      </c>
      <c r="D112" s="92">
        <v>6</v>
      </c>
      <c r="E112" s="92" t="s">
        <v>291</v>
      </c>
      <c r="F112" s="91" t="s">
        <v>292</v>
      </c>
      <c r="G112" s="91"/>
    </row>
    <row r="113" spans="1:7" s="16" customFormat="1" ht="17.25" thickBot="1" x14ac:dyDescent="0.3">
      <c r="A113" s="275"/>
      <c r="B113" s="278"/>
      <c r="C113" s="92">
        <v>5</v>
      </c>
      <c r="D113" s="92">
        <v>5</v>
      </c>
      <c r="E113" s="92" t="s">
        <v>293</v>
      </c>
      <c r="F113" s="91" t="s">
        <v>294</v>
      </c>
      <c r="G113" s="91"/>
    </row>
    <row r="114" spans="1:7" s="16" customFormat="1" ht="17.25" thickBot="1" x14ac:dyDescent="0.3">
      <c r="A114" s="276"/>
      <c r="B114" s="279"/>
      <c r="C114" s="92">
        <v>4</v>
      </c>
      <c r="D114" s="92">
        <v>0</v>
      </c>
      <c r="E114" s="92" t="s">
        <v>295</v>
      </c>
      <c r="F114" s="91" t="s">
        <v>296</v>
      </c>
      <c r="G114" s="91"/>
    </row>
    <row r="115" spans="1:7" s="16" customFormat="1" ht="90.75" thickBot="1" x14ac:dyDescent="0.3">
      <c r="A115" s="274" t="s">
        <v>297</v>
      </c>
      <c r="B115" s="277" t="s">
        <v>298</v>
      </c>
      <c r="C115" s="92">
        <v>15</v>
      </c>
      <c r="D115" s="92">
        <v>12</v>
      </c>
      <c r="E115" s="92" t="s">
        <v>299</v>
      </c>
      <c r="F115" s="91" t="s">
        <v>300</v>
      </c>
      <c r="G115" s="91"/>
    </row>
    <row r="116" spans="1:7" s="16" customFormat="1" ht="17.25" thickBot="1" x14ac:dyDescent="0.3">
      <c r="A116" s="275"/>
      <c r="B116" s="278"/>
      <c r="C116" s="92">
        <v>11</v>
      </c>
      <c r="D116" s="92">
        <v>6</v>
      </c>
      <c r="E116" s="92" t="s">
        <v>37</v>
      </c>
      <c r="F116" s="91"/>
      <c r="G116" s="91"/>
    </row>
    <row r="117" spans="1:7" s="16" customFormat="1" ht="90.75" thickBot="1" x14ac:dyDescent="0.3">
      <c r="A117" s="276"/>
      <c r="B117" s="279"/>
      <c r="C117" s="92">
        <v>5</v>
      </c>
      <c r="D117" s="92">
        <v>0</v>
      </c>
      <c r="E117" s="92" t="s">
        <v>301</v>
      </c>
      <c r="F117" s="91" t="s">
        <v>456</v>
      </c>
      <c r="G117" s="91"/>
    </row>
    <row r="118" spans="1:7" s="16" customFormat="1" ht="60.75" thickBot="1" x14ac:dyDescent="0.3">
      <c r="A118" s="90" t="s">
        <v>302</v>
      </c>
      <c r="B118" s="92" t="s">
        <v>303</v>
      </c>
      <c r="C118" s="92">
        <v>15</v>
      </c>
      <c r="D118" s="92">
        <v>0</v>
      </c>
      <c r="E118" s="92" t="s">
        <v>304</v>
      </c>
      <c r="F118" s="91" t="s">
        <v>305</v>
      </c>
      <c r="G118" s="91"/>
    </row>
    <row r="119" spans="1:7" s="16" customFormat="1" ht="60.75" thickBot="1" x14ac:dyDescent="0.3">
      <c r="A119" s="90" t="s">
        <v>306</v>
      </c>
      <c r="B119" s="92" t="s">
        <v>307</v>
      </c>
      <c r="C119" s="92">
        <v>15</v>
      </c>
      <c r="D119" s="92">
        <v>0</v>
      </c>
      <c r="E119" s="92" t="s">
        <v>308</v>
      </c>
      <c r="F119" s="91" t="s">
        <v>309</v>
      </c>
      <c r="G119" s="91"/>
    </row>
    <row r="120" spans="1:7" s="16" customFormat="1" ht="60.75" thickBot="1" x14ac:dyDescent="0.3">
      <c r="A120" s="90" t="s">
        <v>310</v>
      </c>
      <c r="B120" s="92" t="s">
        <v>311</v>
      </c>
      <c r="C120" s="92">
        <v>15</v>
      </c>
      <c r="D120" s="92">
        <v>0</v>
      </c>
      <c r="E120" s="92" t="s">
        <v>312</v>
      </c>
      <c r="F120" s="91" t="s">
        <v>313</v>
      </c>
      <c r="G120" s="91"/>
    </row>
    <row r="121" spans="1:7" s="16" customFormat="1" ht="60.75" thickBot="1" x14ac:dyDescent="0.3">
      <c r="A121" s="90" t="s">
        <v>314</v>
      </c>
      <c r="B121" s="92" t="s">
        <v>315</v>
      </c>
      <c r="C121" s="92">
        <v>15</v>
      </c>
      <c r="D121" s="92">
        <v>0</v>
      </c>
      <c r="E121" s="92" t="s">
        <v>316</v>
      </c>
      <c r="F121" s="91" t="s">
        <v>317</v>
      </c>
      <c r="G121" s="91"/>
    </row>
    <row r="122" spans="1:7" s="16" customFormat="1" ht="17.25" thickBot="1" x14ac:dyDescent="0.3">
      <c r="A122" s="274" t="s">
        <v>318</v>
      </c>
      <c r="B122" s="277" t="s">
        <v>319</v>
      </c>
      <c r="C122" s="92">
        <v>15</v>
      </c>
      <c r="D122" s="92">
        <v>15</v>
      </c>
      <c r="E122" s="92" t="s">
        <v>320</v>
      </c>
      <c r="F122" s="91" t="s">
        <v>321</v>
      </c>
      <c r="G122" s="91"/>
    </row>
    <row r="123" spans="1:7" s="16" customFormat="1" ht="210.75" thickBot="1" x14ac:dyDescent="0.3">
      <c r="A123" s="276"/>
      <c r="B123" s="279"/>
      <c r="C123" s="92">
        <v>14</v>
      </c>
      <c r="D123" s="92">
        <v>0</v>
      </c>
      <c r="E123" s="92" t="s">
        <v>322</v>
      </c>
      <c r="F123" s="91" t="s">
        <v>323</v>
      </c>
      <c r="G123" s="91" t="s">
        <v>324</v>
      </c>
    </row>
    <row r="124" spans="1:7" s="16" customFormat="1" ht="17.25" thickBot="1" x14ac:dyDescent="0.3">
      <c r="A124" s="274" t="s">
        <v>15</v>
      </c>
      <c r="B124" s="277" t="s">
        <v>325</v>
      </c>
      <c r="C124" s="92">
        <v>15</v>
      </c>
      <c r="D124" s="92">
        <v>15</v>
      </c>
      <c r="E124" s="92" t="s">
        <v>326</v>
      </c>
      <c r="F124" s="91" t="s">
        <v>327</v>
      </c>
      <c r="G124" s="91"/>
    </row>
    <row r="125" spans="1:7" s="16" customFormat="1" ht="210.75" thickBot="1" x14ac:dyDescent="0.3">
      <c r="A125" s="276"/>
      <c r="B125" s="279"/>
      <c r="C125" s="92">
        <v>14</v>
      </c>
      <c r="D125" s="92">
        <v>0</v>
      </c>
      <c r="E125" s="92" t="s">
        <v>328</v>
      </c>
      <c r="F125" s="91" t="s">
        <v>323</v>
      </c>
      <c r="G125" s="91" t="s">
        <v>324</v>
      </c>
    </row>
    <row r="128" spans="1:7" x14ac:dyDescent="0.25">
      <c r="F128" s="12"/>
    </row>
    <row r="129" spans="1:6" x14ac:dyDescent="0.25">
      <c r="F129" s="12"/>
    </row>
    <row r="130" spans="1:6" x14ac:dyDescent="0.25">
      <c r="F130" s="12"/>
    </row>
    <row r="131" spans="1:6" x14ac:dyDescent="0.25">
      <c r="F131" s="12"/>
    </row>
    <row r="132" spans="1:6" x14ac:dyDescent="0.25">
      <c r="F132" s="12"/>
    </row>
    <row r="133" spans="1:6" x14ac:dyDescent="0.25">
      <c r="F133" s="12"/>
    </row>
    <row r="134" spans="1:6" s="12" customFormat="1" ht="15.75" x14ac:dyDescent="0.25">
      <c r="A134" s="17"/>
    </row>
    <row r="135" spans="1:6" s="12" customFormat="1" ht="15.75" x14ac:dyDescent="0.25">
      <c r="A135" s="17"/>
    </row>
    <row r="136" spans="1:6" s="12" customFormat="1" ht="15.75" x14ac:dyDescent="0.25">
      <c r="A136" s="17"/>
    </row>
    <row r="137" spans="1:6" s="12" customFormat="1" ht="15.75" x14ac:dyDescent="0.25">
      <c r="A137" s="17"/>
    </row>
    <row r="138" spans="1:6" s="12" customFormat="1" ht="15.75" x14ac:dyDescent="0.25">
      <c r="A138" s="17"/>
    </row>
    <row r="139" spans="1:6" s="12" customFormat="1" ht="15.75" x14ac:dyDescent="0.25">
      <c r="A139" s="17"/>
    </row>
    <row r="140" spans="1:6" s="12" customFormat="1" ht="15.75" x14ac:dyDescent="0.25">
      <c r="A140" s="17"/>
    </row>
    <row r="141" spans="1:6" s="12" customFormat="1" ht="15.75" x14ac:dyDescent="0.25">
      <c r="A141" s="17"/>
    </row>
    <row r="142" spans="1:6" s="12" customFormat="1" ht="15.75" x14ac:dyDescent="0.25">
      <c r="A142" s="17"/>
    </row>
    <row r="143" spans="1:6" s="12" customFormat="1" ht="15.75" x14ac:dyDescent="0.25">
      <c r="A143" s="17"/>
    </row>
    <row r="144" spans="1:6" s="12" customFormat="1" ht="15.75" x14ac:dyDescent="0.25">
      <c r="A144" s="17"/>
    </row>
  </sheetData>
  <sheetProtection selectLockedCells="1" selectUnlockedCells="1"/>
  <mergeCells count="36">
    <mergeCell ref="A122:A123"/>
    <mergeCell ref="B122:B123"/>
    <mergeCell ref="A124:A125"/>
    <mergeCell ref="B124:B125"/>
    <mergeCell ref="A55:A59"/>
    <mergeCell ref="B55:B59"/>
    <mergeCell ref="B102:B109"/>
    <mergeCell ref="A102:A109"/>
    <mergeCell ref="B63:B73"/>
    <mergeCell ref="A63:A73"/>
    <mergeCell ref="A74:A84"/>
    <mergeCell ref="B74:B84"/>
    <mergeCell ref="A85:A94"/>
    <mergeCell ref="B85:B94"/>
    <mergeCell ref="A110:A114"/>
    <mergeCell ref="B110:B114"/>
    <mergeCell ref="A115:A117"/>
    <mergeCell ref="B115:B117"/>
    <mergeCell ref="A47:A48"/>
    <mergeCell ref="B47:B48"/>
    <mergeCell ref="A49:A53"/>
    <mergeCell ref="B49:B53"/>
    <mergeCell ref="B39:B41"/>
    <mergeCell ref="A42:A43"/>
    <mergeCell ref="B42:B43"/>
    <mergeCell ref="A45:A46"/>
    <mergeCell ref="B45:B46"/>
    <mergeCell ref="A39:A41"/>
    <mergeCell ref="A37:A38"/>
    <mergeCell ref="B37:B38"/>
    <mergeCell ref="A2:A17"/>
    <mergeCell ref="B2:B17"/>
    <mergeCell ref="A19:A32"/>
    <mergeCell ref="B19:B32"/>
    <mergeCell ref="A34:A36"/>
    <mergeCell ref="B34:B36"/>
  </mergeCells>
  <phoneticPr fontId="1" type="noConversion"/>
  <pageMargins left="0.7" right="0.7" top="0.75" bottom="0.75" header="0.51180555555555551" footer="0.51180555555555551"/>
  <pageSetup paperSize="9" scale="67" firstPageNumber="0" fitToHeight="0" orientation="landscape" r:id="rId1"/>
  <headerFooter alignWithMargins="0"/>
  <rowBreaks count="6" manualBreakCount="6">
    <brk id="25" max="6" man="1"/>
    <brk id="42" max="6" man="1"/>
    <brk id="68" max="6" man="1"/>
    <brk id="85" max="6" man="1"/>
    <brk id="112" max="6" man="1"/>
    <brk id="124" max="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FF-E452-43C0-87F1-2C765461B197}">
  <sheetPr>
    <pageSetUpPr fitToPage="1"/>
  </sheetPr>
  <dimension ref="A1:K69"/>
  <sheetViews>
    <sheetView zoomScaleNormal="100" workbookViewId="0">
      <pane xSplit="2" topLeftCell="C1" activePane="topRight" state="frozen"/>
      <selection pane="topRight" activeCell="B39" sqref="B39"/>
    </sheetView>
  </sheetViews>
  <sheetFormatPr defaultColWidth="8.875" defaultRowHeight="16.5" customHeight="1" x14ac:dyDescent="0.25"/>
  <cols>
    <col min="1" max="1" width="17.25" style="9" customWidth="1"/>
    <col min="2" max="2" width="25.875" style="9" customWidth="1"/>
    <col min="3" max="3" width="33.125" style="131" customWidth="1"/>
    <col min="4" max="4" width="73" style="131" customWidth="1"/>
    <col min="5" max="5" width="23.625" style="9" bestFit="1" customWidth="1"/>
    <col min="6" max="6" width="21.5" style="9" bestFit="1" customWidth="1"/>
  </cols>
  <sheetData>
    <row r="1" spans="1:4" ht="36" x14ac:dyDescent="0.25">
      <c r="A1" s="123" t="s">
        <v>40</v>
      </c>
      <c r="B1" s="123" t="s">
        <v>41</v>
      </c>
      <c r="C1" s="123" t="s">
        <v>45</v>
      </c>
      <c r="D1" s="123" t="s">
        <v>444</v>
      </c>
    </row>
    <row r="2" spans="1:4" x14ac:dyDescent="0.25">
      <c r="A2" s="223">
        <v>420</v>
      </c>
      <c r="B2" s="223" t="s">
        <v>837</v>
      </c>
      <c r="C2" s="223" t="s">
        <v>16</v>
      </c>
      <c r="D2" s="223" t="s">
        <v>839</v>
      </c>
    </row>
    <row r="3" spans="1:4" x14ac:dyDescent="0.25">
      <c r="A3" s="223">
        <v>421</v>
      </c>
      <c r="B3" s="223" t="s">
        <v>329</v>
      </c>
      <c r="C3" s="223" t="s">
        <v>17</v>
      </c>
      <c r="D3" s="223" t="s">
        <v>839</v>
      </c>
    </row>
    <row r="4" spans="1:4" ht="16.5" customHeight="1" x14ac:dyDescent="0.25">
      <c r="A4" s="289" t="s">
        <v>893</v>
      </c>
      <c r="B4" s="290"/>
      <c r="C4" s="290"/>
      <c r="D4" s="291"/>
    </row>
    <row r="5" spans="1:4" ht="17.25" thickBot="1" x14ac:dyDescent="0.3">
      <c r="A5" s="286" t="s">
        <v>894</v>
      </c>
      <c r="B5" s="287"/>
      <c r="C5" s="287"/>
      <c r="D5" s="288"/>
    </row>
    <row r="6" spans="1:4" x14ac:dyDescent="0.25">
      <c r="A6" s="235">
        <v>422</v>
      </c>
      <c r="B6" s="236" t="s">
        <v>330</v>
      </c>
      <c r="C6" s="236" t="s">
        <v>18</v>
      </c>
      <c r="D6" s="237"/>
    </row>
    <row r="7" spans="1:4" x14ac:dyDescent="0.25">
      <c r="A7" s="238">
        <v>423</v>
      </c>
      <c r="B7" s="223" t="s">
        <v>331</v>
      </c>
      <c r="C7" s="223" t="s">
        <v>19</v>
      </c>
      <c r="D7" s="239"/>
    </row>
    <row r="8" spans="1:4" x14ac:dyDescent="0.25">
      <c r="A8" s="238">
        <v>424</v>
      </c>
      <c r="B8" s="223" t="s">
        <v>332</v>
      </c>
      <c r="C8" s="223" t="s">
        <v>20</v>
      </c>
      <c r="D8" s="239"/>
    </row>
    <row r="9" spans="1:4" x14ac:dyDescent="0.25">
      <c r="A9" s="238">
        <v>425</v>
      </c>
      <c r="B9" s="223" t="s">
        <v>333</v>
      </c>
      <c r="C9" s="223" t="s">
        <v>21</v>
      </c>
      <c r="D9" s="239"/>
    </row>
    <row r="10" spans="1:4" x14ac:dyDescent="0.25">
      <c r="A10" s="238">
        <v>426</v>
      </c>
      <c r="B10" s="223" t="s">
        <v>334</v>
      </c>
      <c r="C10" s="223" t="s">
        <v>22</v>
      </c>
      <c r="D10" s="239"/>
    </row>
    <row r="11" spans="1:4" x14ac:dyDescent="0.25">
      <c r="A11" s="238">
        <v>427</v>
      </c>
      <c r="B11" s="223" t="s">
        <v>335</v>
      </c>
      <c r="C11" s="223" t="s">
        <v>23</v>
      </c>
      <c r="D11" s="239"/>
    </row>
    <row r="12" spans="1:4" x14ac:dyDescent="0.25">
      <c r="A12" s="238">
        <v>428</v>
      </c>
      <c r="B12" s="223" t="s">
        <v>336</v>
      </c>
      <c r="C12" s="223" t="s">
        <v>24</v>
      </c>
      <c r="D12" s="239"/>
    </row>
    <row r="13" spans="1:4" x14ac:dyDescent="0.25">
      <c r="A13" s="238">
        <v>429</v>
      </c>
      <c r="B13" s="223" t="s">
        <v>337</v>
      </c>
      <c r="C13" s="223" t="s">
        <v>25</v>
      </c>
      <c r="D13" s="239"/>
    </row>
    <row r="14" spans="1:4" x14ac:dyDescent="0.25">
      <c r="A14" s="238" t="s">
        <v>26</v>
      </c>
      <c r="B14" s="223" t="s">
        <v>338</v>
      </c>
      <c r="C14" s="223" t="s">
        <v>27</v>
      </c>
      <c r="D14" s="239"/>
    </row>
    <row r="15" spans="1:4" x14ac:dyDescent="0.25">
      <c r="A15" s="238" t="s">
        <v>28</v>
      </c>
      <c r="B15" s="223" t="s">
        <v>339</v>
      </c>
      <c r="C15" s="223" t="s">
        <v>29</v>
      </c>
      <c r="D15" s="239"/>
    </row>
    <row r="16" spans="1:4" x14ac:dyDescent="0.25">
      <c r="A16" s="238" t="s">
        <v>30</v>
      </c>
      <c r="B16" s="223" t="s">
        <v>340</v>
      </c>
      <c r="C16" s="223" t="s">
        <v>31</v>
      </c>
      <c r="D16" s="239"/>
    </row>
    <row r="17" spans="1:6" ht="17.25" thickBot="1" x14ac:dyDescent="0.3">
      <c r="A17" s="240" t="s">
        <v>32</v>
      </c>
      <c r="B17" s="241" t="s">
        <v>341</v>
      </c>
      <c r="C17" s="241" t="s">
        <v>33</v>
      </c>
      <c r="D17" s="242"/>
    </row>
    <row r="18" spans="1:6" x14ac:dyDescent="0.25">
      <c r="A18" s="234" t="s">
        <v>34</v>
      </c>
      <c r="B18" s="234" t="s">
        <v>342</v>
      </c>
      <c r="C18" s="234" t="s">
        <v>838</v>
      </c>
      <c r="D18" s="234" t="s">
        <v>840</v>
      </c>
    </row>
    <row r="19" spans="1:6" x14ac:dyDescent="0.25">
      <c r="A19" s="223" t="s">
        <v>35</v>
      </c>
      <c r="B19" s="223" t="s">
        <v>343</v>
      </c>
      <c r="C19" s="223" t="s">
        <v>36</v>
      </c>
      <c r="D19" s="223"/>
    </row>
    <row r="20" spans="1:6" x14ac:dyDescent="0.25">
      <c r="A20" s="19"/>
      <c r="B20" s="221"/>
      <c r="C20" s="3"/>
      <c r="D20" s="222"/>
    </row>
    <row r="21" spans="1:6" x14ac:dyDescent="0.25">
      <c r="A21" s="133" t="s">
        <v>674</v>
      </c>
      <c r="B21" s="133"/>
      <c r="C21" s="134" t="s">
        <v>465</v>
      </c>
      <c r="D21" s="171" t="s">
        <v>465</v>
      </c>
      <c r="E21" s="189" t="s">
        <v>465</v>
      </c>
      <c r="F21" s="189" t="s">
        <v>465</v>
      </c>
    </row>
    <row r="22" spans="1:6" x14ac:dyDescent="0.25">
      <c r="A22" s="136" t="s">
        <v>462</v>
      </c>
      <c r="B22" s="137" t="s">
        <v>463</v>
      </c>
      <c r="C22" s="138" t="s">
        <v>464</v>
      </c>
      <c r="D22" s="185" t="s">
        <v>46</v>
      </c>
      <c r="E22" s="190" t="s">
        <v>466</v>
      </c>
      <c r="F22" s="190" t="s">
        <v>467</v>
      </c>
    </row>
    <row r="23" spans="1:6" ht="30" x14ac:dyDescent="0.25">
      <c r="A23" s="141">
        <v>1</v>
      </c>
      <c r="B23" s="140" t="s">
        <v>468</v>
      </c>
      <c r="C23" s="142" t="s">
        <v>469</v>
      </c>
      <c r="D23" s="186" t="s">
        <v>470</v>
      </c>
      <c r="E23" s="163" t="s">
        <v>678</v>
      </c>
      <c r="F23" s="163" t="s">
        <v>471</v>
      </c>
    </row>
    <row r="24" spans="1:6" x14ac:dyDescent="0.25">
      <c r="A24" s="141">
        <v>2</v>
      </c>
      <c r="B24" s="140" t="s">
        <v>472</v>
      </c>
      <c r="C24" s="146" t="s">
        <v>473</v>
      </c>
      <c r="D24" s="159" t="s">
        <v>474</v>
      </c>
      <c r="E24" s="163" t="s">
        <v>679</v>
      </c>
      <c r="F24" s="163" t="s">
        <v>475</v>
      </c>
    </row>
    <row r="25" spans="1:6" x14ac:dyDescent="0.25">
      <c r="A25" s="141">
        <v>1</v>
      </c>
      <c r="B25" s="140" t="s">
        <v>476</v>
      </c>
      <c r="C25" s="146" t="s">
        <v>477</v>
      </c>
      <c r="D25" s="159" t="s">
        <v>478</v>
      </c>
      <c r="E25" s="163" t="s">
        <v>680</v>
      </c>
      <c r="F25" s="163" t="s">
        <v>479</v>
      </c>
    </row>
    <row r="26" spans="1:6" ht="30" x14ac:dyDescent="0.25">
      <c r="A26" s="141">
        <v>2</v>
      </c>
      <c r="B26" s="140" t="s">
        <v>480</v>
      </c>
      <c r="C26" s="146" t="s">
        <v>481</v>
      </c>
      <c r="D26" s="159" t="s">
        <v>482</v>
      </c>
      <c r="E26" s="163" t="s">
        <v>681</v>
      </c>
      <c r="F26" s="163" t="s">
        <v>483</v>
      </c>
    </row>
    <row r="27" spans="1:6" x14ac:dyDescent="0.25">
      <c r="A27" s="141">
        <v>1</v>
      </c>
      <c r="B27" s="140" t="s">
        <v>484</v>
      </c>
      <c r="C27" s="147" t="s">
        <v>485</v>
      </c>
      <c r="D27" s="187" t="s">
        <v>478</v>
      </c>
      <c r="E27" s="163" t="s">
        <v>682</v>
      </c>
      <c r="F27" s="163" t="s">
        <v>486</v>
      </c>
    </row>
    <row r="28" spans="1:6" x14ac:dyDescent="0.25">
      <c r="A28" s="141">
        <v>1</v>
      </c>
      <c r="B28" s="140" t="s">
        <v>487</v>
      </c>
      <c r="C28" s="148" t="s">
        <v>488</v>
      </c>
      <c r="D28" s="188" t="s">
        <v>489</v>
      </c>
      <c r="E28" s="163" t="s">
        <v>683</v>
      </c>
      <c r="F28" s="163" t="s">
        <v>490</v>
      </c>
    </row>
    <row r="29" spans="1:6" x14ac:dyDescent="0.25">
      <c r="A29" s="141">
        <v>1</v>
      </c>
      <c r="B29" s="150" t="s">
        <v>491</v>
      </c>
      <c r="C29" s="151" t="s">
        <v>492</v>
      </c>
      <c r="D29" s="186" t="s">
        <v>493</v>
      </c>
      <c r="E29" s="163" t="s">
        <v>684</v>
      </c>
      <c r="F29" s="163" t="s">
        <v>494</v>
      </c>
    </row>
    <row r="30" spans="1:6" x14ac:dyDescent="0.25">
      <c r="A30" s="141">
        <v>1</v>
      </c>
      <c r="B30" s="140" t="s">
        <v>495</v>
      </c>
      <c r="C30" s="146" t="s">
        <v>496</v>
      </c>
      <c r="D30" s="159" t="s">
        <v>497</v>
      </c>
      <c r="E30" s="163" t="s">
        <v>685</v>
      </c>
      <c r="F30" s="163" t="s">
        <v>498</v>
      </c>
    </row>
    <row r="31" spans="1:6" x14ac:dyDescent="0.25">
      <c r="A31" s="141">
        <v>1</v>
      </c>
      <c r="B31" s="140" t="s">
        <v>499</v>
      </c>
      <c r="C31" s="146" t="s">
        <v>496</v>
      </c>
      <c r="D31" s="159" t="s">
        <v>497</v>
      </c>
      <c r="E31" s="163" t="s">
        <v>686</v>
      </c>
      <c r="F31" s="163" t="s">
        <v>500</v>
      </c>
    </row>
    <row r="32" spans="1:6" x14ac:dyDescent="0.25">
      <c r="A32" s="141">
        <v>1</v>
      </c>
      <c r="B32" s="151" t="s">
        <v>501</v>
      </c>
      <c r="C32" s="142" t="s">
        <v>502</v>
      </c>
      <c r="D32" s="159"/>
      <c r="E32" s="163" t="s">
        <v>687</v>
      </c>
      <c r="F32" s="163" t="s">
        <v>503</v>
      </c>
    </row>
    <row r="33" spans="1:11" x14ac:dyDescent="0.25">
      <c r="A33" s="141">
        <v>1</v>
      </c>
      <c r="B33" s="158" t="s">
        <v>504</v>
      </c>
      <c r="C33" s="146" t="s">
        <v>505</v>
      </c>
      <c r="D33" s="159"/>
      <c r="E33" s="163" t="s">
        <v>688</v>
      </c>
      <c r="F33" s="163" t="s">
        <v>506</v>
      </c>
    </row>
    <row r="34" spans="1:11" x14ac:dyDescent="0.25">
      <c r="A34" s="141">
        <v>1</v>
      </c>
      <c r="B34" s="140" t="s">
        <v>507</v>
      </c>
      <c r="C34" s="146" t="s">
        <v>508</v>
      </c>
      <c r="D34" s="159" t="s">
        <v>508</v>
      </c>
      <c r="E34" s="163" t="s">
        <v>689</v>
      </c>
      <c r="F34" s="163" t="s">
        <v>509</v>
      </c>
    </row>
    <row r="35" spans="1:11" x14ac:dyDescent="0.25">
      <c r="A35" s="141">
        <v>1</v>
      </c>
      <c r="B35" s="191" t="s">
        <v>50</v>
      </c>
      <c r="C35" s="192"/>
      <c r="D35" s="193" t="s">
        <v>465</v>
      </c>
      <c r="E35" s="163" t="s">
        <v>690</v>
      </c>
      <c r="F35" s="163" t="s">
        <v>510</v>
      </c>
    </row>
    <row r="36" spans="1:11" x14ac:dyDescent="0.25">
      <c r="A36" s="154"/>
      <c r="B36" s="154"/>
      <c r="C36" s="144"/>
      <c r="D36" s="144" t="s">
        <v>465</v>
      </c>
      <c r="E36" s="154"/>
      <c r="F36" s="154"/>
    </row>
    <row r="37" spans="1:11" s="174" customFormat="1" x14ac:dyDescent="0.25">
      <c r="A37" s="133" t="s">
        <v>675</v>
      </c>
      <c r="B37" s="133"/>
      <c r="C37" s="134" t="s">
        <v>465</v>
      </c>
      <c r="D37" s="171" t="s">
        <v>465</v>
      </c>
      <c r="E37" s="189" t="s">
        <v>465</v>
      </c>
      <c r="F37" s="189" t="s">
        <v>465</v>
      </c>
      <c r="G37" s="173"/>
      <c r="H37" s="173"/>
      <c r="I37" s="173"/>
      <c r="J37" s="173"/>
      <c r="K37" s="173"/>
    </row>
    <row r="38" spans="1:11" x14ac:dyDescent="0.25">
      <c r="A38" s="136" t="s">
        <v>462</v>
      </c>
      <c r="B38" s="137" t="s">
        <v>41</v>
      </c>
      <c r="C38" s="138" t="s">
        <v>464</v>
      </c>
      <c r="D38" s="185" t="s">
        <v>46</v>
      </c>
      <c r="E38" s="190" t="s">
        <v>466</v>
      </c>
      <c r="F38" s="190" t="s">
        <v>560</v>
      </c>
    </row>
    <row r="39" spans="1:11" x14ac:dyDescent="0.25">
      <c r="A39" s="176">
        <v>1</v>
      </c>
      <c r="B39" s="228" t="s">
        <v>561</v>
      </c>
      <c r="C39" s="140" t="s">
        <v>562</v>
      </c>
      <c r="D39" s="150" t="s">
        <v>465</v>
      </c>
      <c r="E39" s="163" t="s">
        <v>691</v>
      </c>
      <c r="F39" s="163" t="s">
        <v>563</v>
      </c>
    </row>
    <row r="40" spans="1:11" x14ac:dyDescent="0.25">
      <c r="A40" s="141">
        <v>1</v>
      </c>
      <c r="B40" s="140" t="s">
        <v>564</v>
      </c>
      <c r="C40" s="140" t="s">
        <v>565</v>
      </c>
      <c r="D40" s="150" t="s">
        <v>566</v>
      </c>
      <c r="E40" s="163" t="s">
        <v>692</v>
      </c>
      <c r="F40" s="163" t="s">
        <v>567</v>
      </c>
    </row>
    <row r="41" spans="1:11" x14ac:dyDescent="0.25">
      <c r="A41" s="141">
        <v>1</v>
      </c>
      <c r="B41" s="140" t="s">
        <v>528</v>
      </c>
      <c r="C41" s="140" t="s">
        <v>529</v>
      </c>
      <c r="D41" s="150" t="s">
        <v>465</v>
      </c>
      <c r="E41" s="163" t="s">
        <v>693</v>
      </c>
      <c r="F41" s="163" t="s">
        <v>568</v>
      </c>
    </row>
    <row r="42" spans="1:11" x14ac:dyDescent="0.25">
      <c r="A42" s="141">
        <v>1</v>
      </c>
      <c r="B42" s="140" t="s">
        <v>569</v>
      </c>
      <c r="C42" s="140" t="s">
        <v>570</v>
      </c>
      <c r="D42" s="150" t="s">
        <v>676</v>
      </c>
      <c r="E42" s="163" t="s">
        <v>694</v>
      </c>
      <c r="F42" s="163" t="s">
        <v>571</v>
      </c>
    </row>
    <row r="43" spans="1:11" x14ac:dyDescent="0.25">
      <c r="A43" s="141">
        <v>1</v>
      </c>
      <c r="B43" s="140" t="s">
        <v>572</v>
      </c>
      <c r="C43" s="140" t="s">
        <v>573</v>
      </c>
      <c r="D43" s="150" t="s">
        <v>574</v>
      </c>
      <c r="E43" s="163" t="s">
        <v>695</v>
      </c>
      <c r="F43" s="163" t="s">
        <v>575</v>
      </c>
    </row>
    <row r="44" spans="1:11" x14ac:dyDescent="0.25">
      <c r="A44" s="141">
        <v>1</v>
      </c>
      <c r="B44" s="140" t="s">
        <v>576</v>
      </c>
      <c r="C44" s="140" t="s">
        <v>577</v>
      </c>
      <c r="D44" s="150" t="s">
        <v>465</v>
      </c>
      <c r="E44" s="163" t="s">
        <v>696</v>
      </c>
      <c r="F44" s="163" t="s">
        <v>578</v>
      </c>
    </row>
    <row r="45" spans="1:11" x14ac:dyDescent="0.25">
      <c r="A45" s="141">
        <v>1</v>
      </c>
      <c r="B45" s="229" t="s">
        <v>579</v>
      </c>
      <c r="C45" s="140" t="s">
        <v>580</v>
      </c>
      <c r="D45" s="150" t="s">
        <v>892</v>
      </c>
      <c r="E45" s="163" t="s">
        <v>697</v>
      </c>
      <c r="F45" s="163" t="s">
        <v>582</v>
      </c>
    </row>
    <row r="46" spans="1:11" x14ac:dyDescent="0.25">
      <c r="A46" s="141">
        <v>1</v>
      </c>
      <c r="B46" s="229" t="s">
        <v>583</v>
      </c>
      <c r="C46" s="140" t="s">
        <v>584</v>
      </c>
      <c r="D46" s="233" t="s">
        <v>890</v>
      </c>
      <c r="E46" s="163" t="s">
        <v>698</v>
      </c>
      <c r="F46" s="163" t="s">
        <v>585</v>
      </c>
    </row>
    <row r="47" spans="1:11" x14ac:dyDescent="0.25">
      <c r="A47" s="141">
        <v>1</v>
      </c>
      <c r="B47" s="140" t="s">
        <v>586</v>
      </c>
      <c r="C47" s="140" t="s">
        <v>587</v>
      </c>
      <c r="D47" s="150" t="s">
        <v>588</v>
      </c>
      <c r="E47" s="163" t="s">
        <v>699</v>
      </c>
      <c r="F47" s="163" t="s">
        <v>589</v>
      </c>
    </row>
    <row r="48" spans="1:11" x14ac:dyDescent="0.25">
      <c r="A48" s="141">
        <v>1</v>
      </c>
      <c r="B48" s="140" t="s">
        <v>590</v>
      </c>
      <c r="C48" s="140" t="s">
        <v>591</v>
      </c>
      <c r="D48" s="150" t="s">
        <v>581</v>
      </c>
      <c r="E48" s="163" t="s">
        <v>700</v>
      </c>
      <c r="F48" s="163" t="s">
        <v>592</v>
      </c>
    </row>
    <row r="49" spans="1:6" x14ac:dyDescent="0.25">
      <c r="A49" s="141">
        <v>1</v>
      </c>
      <c r="B49" s="140" t="s">
        <v>593</v>
      </c>
      <c r="C49" s="140" t="s">
        <v>594</v>
      </c>
      <c r="D49" s="150" t="s">
        <v>581</v>
      </c>
      <c r="E49" s="163" t="s">
        <v>701</v>
      </c>
      <c r="F49" s="163" t="s">
        <v>595</v>
      </c>
    </row>
    <row r="50" spans="1:6" x14ac:dyDescent="0.25">
      <c r="A50" s="141">
        <v>2</v>
      </c>
      <c r="B50" s="140" t="s">
        <v>596</v>
      </c>
      <c r="C50" s="140" t="s">
        <v>597</v>
      </c>
      <c r="D50" s="150" t="s">
        <v>598</v>
      </c>
      <c r="E50" s="163" t="s">
        <v>702</v>
      </c>
      <c r="F50" s="163" t="s">
        <v>599</v>
      </c>
    </row>
    <row r="51" spans="1:6" x14ac:dyDescent="0.25">
      <c r="A51" s="141">
        <v>2</v>
      </c>
      <c r="B51" s="140" t="s">
        <v>600</v>
      </c>
      <c r="C51" s="146" t="s">
        <v>601</v>
      </c>
      <c r="D51" s="159" t="s">
        <v>602</v>
      </c>
      <c r="E51" s="163" t="s">
        <v>703</v>
      </c>
      <c r="F51" s="163" t="s">
        <v>603</v>
      </c>
    </row>
    <row r="52" spans="1:6" x14ac:dyDescent="0.25">
      <c r="A52" s="141">
        <v>1</v>
      </c>
      <c r="B52" s="140" t="s">
        <v>604</v>
      </c>
      <c r="C52" s="140" t="s">
        <v>605</v>
      </c>
      <c r="D52" s="150" t="s">
        <v>677</v>
      </c>
      <c r="E52" s="163" t="s">
        <v>704</v>
      </c>
      <c r="F52" s="163" t="s">
        <v>606</v>
      </c>
    </row>
    <row r="53" spans="1:6" x14ac:dyDescent="0.25">
      <c r="C53" s="9"/>
      <c r="D53" s="9"/>
    </row>
    <row r="54" spans="1:6" x14ac:dyDescent="0.25">
      <c r="C54" s="9"/>
      <c r="D54" s="9"/>
    </row>
    <row r="55" spans="1:6" x14ac:dyDescent="0.25">
      <c r="C55" s="9"/>
      <c r="D55" s="9"/>
    </row>
    <row r="56" spans="1:6" x14ac:dyDescent="0.25">
      <c r="C56" s="9"/>
      <c r="D56" s="9"/>
    </row>
    <row r="57" spans="1:6" x14ac:dyDescent="0.25">
      <c r="C57" s="9"/>
      <c r="D57" s="9"/>
    </row>
    <row r="58" spans="1:6" x14ac:dyDescent="0.25">
      <c r="C58" s="9"/>
      <c r="D58" s="9"/>
    </row>
    <row r="59" spans="1:6" x14ac:dyDescent="0.25">
      <c r="C59" s="9"/>
      <c r="D59" s="9"/>
    </row>
    <row r="60" spans="1:6" x14ac:dyDescent="0.25">
      <c r="C60" s="9"/>
      <c r="D60" s="9"/>
    </row>
    <row r="61" spans="1:6" x14ac:dyDescent="0.25">
      <c r="C61" s="9"/>
      <c r="D61" s="9"/>
    </row>
    <row r="62" spans="1:6" x14ac:dyDescent="0.25">
      <c r="C62" s="9"/>
      <c r="D62" s="9"/>
    </row>
    <row r="63" spans="1:6" x14ac:dyDescent="0.25">
      <c r="C63" s="9"/>
      <c r="D63" s="9"/>
    </row>
    <row r="64" spans="1:6" x14ac:dyDescent="0.25">
      <c r="C64" s="9"/>
      <c r="D64" s="9"/>
    </row>
    <row r="65" spans="3:11" x14ac:dyDescent="0.25">
      <c r="C65" s="9"/>
      <c r="D65" s="9"/>
    </row>
    <row r="66" spans="3:11" x14ac:dyDescent="0.25">
      <c r="C66" s="9"/>
      <c r="D66" s="9"/>
    </row>
    <row r="67" spans="3:11" x14ac:dyDescent="0.25">
      <c r="C67" s="9"/>
      <c r="D67" s="9"/>
    </row>
    <row r="68" spans="3:11" s="9" customFormat="1" x14ac:dyDescent="0.25">
      <c r="C68" s="184"/>
      <c r="D68" s="184"/>
      <c r="G68"/>
      <c r="H68"/>
      <c r="I68"/>
      <c r="J68"/>
      <c r="K68"/>
    </row>
    <row r="69" spans="3:11" s="9" customFormat="1" x14ac:dyDescent="0.25">
      <c r="C69" s="131"/>
      <c r="D69" s="131"/>
      <c r="G69"/>
      <c r="H69"/>
      <c r="I69"/>
      <c r="J69"/>
      <c r="K69"/>
    </row>
  </sheetData>
  <mergeCells count="2">
    <mergeCell ref="A5:D5"/>
    <mergeCell ref="A4:D4"/>
  </mergeCells>
  <phoneticPr fontId="1" type="noConversion"/>
  <pageMargins left="0.7" right="0.7" top="0.75" bottom="0.75" header="0.3" footer="0.3"/>
  <pageSetup paperSize="9" scale="72" fitToHeight="0" orientation="landscape" r:id="rId1"/>
  <rowBreaks count="2" manualBreakCount="2">
    <brk id="20" max="5" man="1"/>
    <brk id="5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8224C-37F8-47B8-83C1-B24EE2B4C27C}">
  <sheetPr>
    <pageSetUpPr fitToPage="1"/>
  </sheetPr>
  <dimension ref="A1:K110"/>
  <sheetViews>
    <sheetView zoomScaleNormal="100" workbookViewId="0">
      <pane xSplit="2" topLeftCell="C1" activePane="topRight" state="frozen"/>
      <selection pane="topRight" activeCell="C25" sqref="C25"/>
    </sheetView>
  </sheetViews>
  <sheetFormatPr defaultColWidth="8.875" defaultRowHeight="16.5" customHeight="1" x14ac:dyDescent="0.25"/>
  <cols>
    <col min="1" max="1" width="13.875" style="9" customWidth="1"/>
    <col min="2" max="2" width="25.875" style="9" customWidth="1"/>
    <col min="3" max="3" width="33.125" style="131" customWidth="1"/>
    <col min="4" max="4" width="60.625" style="131" customWidth="1"/>
    <col min="5" max="5" width="23.625" style="9" bestFit="1" customWidth="1"/>
    <col min="6" max="6" width="21.5" style="9" bestFit="1" customWidth="1"/>
  </cols>
  <sheetData>
    <row r="1" spans="1:4" ht="54" x14ac:dyDescent="0.25">
      <c r="A1" s="123" t="s">
        <v>40</v>
      </c>
      <c r="B1" s="123" t="s">
        <v>41</v>
      </c>
      <c r="C1" s="123" t="s">
        <v>45</v>
      </c>
      <c r="D1" s="123" t="s">
        <v>444</v>
      </c>
    </row>
    <row r="2" spans="1:4" x14ac:dyDescent="0.25">
      <c r="A2" s="223" t="s">
        <v>344</v>
      </c>
      <c r="B2" s="223" t="s">
        <v>843</v>
      </c>
      <c r="C2" s="223" t="s">
        <v>841</v>
      </c>
      <c r="D2" s="223"/>
    </row>
    <row r="3" spans="1:4" x14ac:dyDescent="0.25">
      <c r="A3" s="223" t="s">
        <v>345</v>
      </c>
      <c r="B3" s="223" t="s">
        <v>844</v>
      </c>
      <c r="C3" s="223" t="s">
        <v>346</v>
      </c>
      <c r="D3" s="223"/>
    </row>
    <row r="4" spans="1:4" x14ac:dyDescent="0.25">
      <c r="A4" s="223" t="s">
        <v>347</v>
      </c>
      <c r="B4" s="223" t="s">
        <v>845</v>
      </c>
      <c r="C4" s="223" t="s">
        <v>348</v>
      </c>
      <c r="D4" s="60"/>
    </row>
    <row r="5" spans="1:4" x14ac:dyDescent="0.25">
      <c r="A5" s="223" t="s">
        <v>349</v>
      </c>
      <c r="B5" s="223" t="s">
        <v>846</v>
      </c>
      <c r="C5" s="223" t="s">
        <v>350</v>
      </c>
      <c r="D5" s="223"/>
    </row>
    <row r="6" spans="1:4" x14ac:dyDescent="0.25">
      <c r="A6" s="223" t="s">
        <v>351</v>
      </c>
      <c r="B6" s="223" t="s">
        <v>847</v>
      </c>
      <c r="C6" s="223" t="s">
        <v>352</v>
      </c>
      <c r="D6" s="223"/>
    </row>
    <row r="7" spans="1:4" x14ac:dyDescent="0.25">
      <c r="A7" s="223" t="s">
        <v>353</v>
      </c>
      <c r="B7" s="223" t="s">
        <v>848</v>
      </c>
      <c r="C7" s="223" t="s">
        <v>354</v>
      </c>
      <c r="D7" s="223"/>
    </row>
    <row r="8" spans="1:4" x14ac:dyDescent="0.25">
      <c r="A8" s="223" t="s">
        <v>355</v>
      </c>
      <c r="B8" s="223" t="s">
        <v>849</v>
      </c>
      <c r="C8" s="223" t="s">
        <v>356</v>
      </c>
      <c r="D8" s="223"/>
    </row>
    <row r="9" spans="1:4" x14ac:dyDescent="0.25">
      <c r="A9" s="223" t="s">
        <v>357</v>
      </c>
      <c r="B9" s="223" t="s">
        <v>850</v>
      </c>
      <c r="C9" s="223" t="s">
        <v>358</v>
      </c>
      <c r="D9" s="223"/>
    </row>
    <row r="10" spans="1:4" x14ac:dyDescent="0.25">
      <c r="A10" s="223" t="s">
        <v>359</v>
      </c>
      <c r="B10" s="223" t="s">
        <v>851</v>
      </c>
      <c r="C10" s="223" t="s">
        <v>842</v>
      </c>
      <c r="D10" s="223" t="s">
        <v>859</v>
      </c>
    </row>
    <row r="11" spans="1:4" x14ac:dyDescent="0.25">
      <c r="A11" s="223" t="s">
        <v>360</v>
      </c>
      <c r="B11" s="223" t="s">
        <v>852</v>
      </c>
      <c r="C11" s="223" t="s">
        <v>361</v>
      </c>
      <c r="D11" s="223" t="s">
        <v>860</v>
      </c>
    </row>
    <row r="12" spans="1:4" x14ac:dyDescent="0.25">
      <c r="A12" s="223" t="s">
        <v>362</v>
      </c>
      <c r="B12" s="223" t="s">
        <v>853</v>
      </c>
      <c r="C12" s="223" t="s">
        <v>363</v>
      </c>
      <c r="D12" s="223" t="s">
        <v>861</v>
      </c>
    </row>
    <row r="13" spans="1:4" x14ac:dyDescent="0.25">
      <c r="A13" s="223" t="s">
        <v>364</v>
      </c>
      <c r="B13" s="223" t="s">
        <v>854</v>
      </c>
      <c r="C13" s="223" t="s">
        <v>365</v>
      </c>
      <c r="D13" s="223" t="s">
        <v>862</v>
      </c>
    </row>
    <row r="14" spans="1:4" x14ac:dyDescent="0.25">
      <c r="A14" s="223" t="s">
        <v>366</v>
      </c>
      <c r="B14" s="223" t="s">
        <v>855</v>
      </c>
      <c r="C14" s="223" t="s">
        <v>367</v>
      </c>
      <c r="D14" s="223" t="s">
        <v>863</v>
      </c>
    </row>
    <row r="15" spans="1:4" x14ac:dyDescent="0.25">
      <c r="A15" s="223" t="s">
        <v>368</v>
      </c>
      <c r="B15" s="223" t="s">
        <v>856</v>
      </c>
      <c r="C15" s="223" t="s">
        <v>369</v>
      </c>
      <c r="D15" s="223" t="s">
        <v>864</v>
      </c>
    </row>
    <row r="16" spans="1:4" x14ac:dyDescent="0.25">
      <c r="A16" s="223" t="s">
        <v>370</v>
      </c>
      <c r="B16" s="223" t="s">
        <v>857</v>
      </c>
      <c r="C16" s="223" t="s">
        <v>371</v>
      </c>
      <c r="D16" s="223" t="s">
        <v>865</v>
      </c>
    </row>
    <row r="17" spans="1:6" x14ac:dyDescent="0.25">
      <c r="A17" s="223" t="s">
        <v>372</v>
      </c>
      <c r="B17" s="223" t="s">
        <v>858</v>
      </c>
      <c r="C17" s="223" t="s">
        <v>373</v>
      </c>
      <c r="D17" s="223" t="s">
        <v>866</v>
      </c>
    </row>
    <row r="18" spans="1:6" x14ac:dyDescent="0.25">
      <c r="A18" s="132"/>
      <c r="B18" s="131"/>
      <c r="C18" s="184"/>
      <c r="D18" s="220"/>
    </row>
    <row r="19" spans="1:6" x14ac:dyDescent="0.25">
      <c r="A19" s="133" t="s">
        <v>674</v>
      </c>
      <c r="B19" s="133"/>
      <c r="C19" s="134" t="s">
        <v>465</v>
      </c>
      <c r="D19" s="135" t="s">
        <v>465</v>
      </c>
      <c r="E19" s="189" t="s">
        <v>465</v>
      </c>
      <c r="F19" s="189" t="s">
        <v>465</v>
      </c>
    </row>
    <row r="20" spans="1:6" x14ac:dyDescent="0.25">
      <c r="A20" s="136" t="s">
        <v>462</v>
      </c>
      <c r="B20" s="137" t="s">
        <v>463</v>
      </c>
      <c r="C20" s="138" t="s">
        <v>464</v>
      </c>
      <c r="D20" s="139" t="s">
        <v>46</v>
      </c>
      <c r="E20" s="190" t="s">
        <v>466</v>
      </c>
      <c r="F20" s="190" t="s">
        <v>467</v>
      </c>
    </row>
    <row r="21" spans="1:6" x14ac:dyDescent="0.25">
      <c r="A21" s="155">
        <v>1</v>
      </c>
      <c r="B21" s="140" t="s">
        <v>511</v>
      </c>
      <c r="C21" s="140" t="s">
        <v>512</v>
      </c>
      <c r="D21" s="140" t="s">
        <v>513</v>
      </c>
      <c r="E21" s="163" t="s">
        <v>705</v>
      </c>
      <c r="F21" s="163" t="s">
        <v>767</v>
      </c>
    </row>
    <row r="22" spans="1:6" x14ac:dyDescent="0.25">
      <c r="A22" s="155">
        <v>1</v>
      </c>
      <c r="B22" s="204" t="s">
        <v>50</v>
      </c>
      <c r="C22" s="205"/>
      <c r="D22" s="205" t="s">
        <v>465</v>
      </c>
      <c r="E22" s="163" t="s">
        <v>706</v>
      </c>
      <c r="F22" s="163" t="s">
        <v>768</v>
      </c>
    </row>
    <row r="23" spans="1:6" x14ac:dyDescent="0.25">
      <c r="A23" s="155">
        <v>1</v>
      </c>
      <c r="B23" s="140" t="s">
        <v>514</v>
      </c>
      <c r="C23" s="150" t="s">
        <v>515</v>
      </c>
      <c r="D23" s="158" t="s">
        <v>516</v>
      </c>
      <c r="E23" s="163" t="s">
        <v>707</v>
      </c>
      <c r="F23" s="163" t="s">
        <v>769</v>
      </c>
    </row>
    <row r="24" spans="1:6" ht="30" x14ac:dyDescent="0.25">
      <c r="A24" s="155">
        <v>1</v>
      </c>
      <c r="B24" s="140" t="s">
        <v>517</v>
      </c>
      <c r="C24" s="146" t="s">
        <v>518</v>
      </c>
      <c r="D24" s="146" t="s">
        <v>519</v>
      </c>
      <c r="E24" s="163" t="s">
        <v>708</v>
      </c>
      <c r="F24" s="163" t="s">
        <v>770</v>
      </c>
    </row>
    <row r="25" spans="1:6" x14ac:dyDescent="0.25">
      <c r="A25" s="155">
        <v>1</v>
      </c>
      <c r="B25" s="140" t="s">
        <v>520</v>
      </c>
      <c r="C25" s="150" t="s">
        <v>521</v>
      </c>
      <c r="D25" s="158" t="s">
        <v>522</v>
      </c>
      <c r="E25" s="163" t="s">
        <v>709</v>
      </c>
      <c r="F25" s="163" t="s">
        <v>771</v>
      </c>
    </row>
    <row r="26" spans="1:6" x14ac:dyDescent="0.25">
      <c r="A26" s="155">
        <v>1</v>
      </c>
      <c r="B26" s="140" t="s">
        <v>523</v>
      </c>
      <c r="C26" s="159" t="s">
        <v>524</v>
      </c>
      <c r="D26" s="158" t="s">
        <v>465</v>
      </c>
      <c r="E26" s="163" t="s">
        <v>710</v>
      </c>
      <c r="F26" s="163" t="s">
        <v>772</v>
      </c>
    </row>
    <row r="27" spans="1:6" x14ac:dyDescent="0.25">
      <c r="A27" s="155">
        <v>1</v>
      </c>
      <c r="B27" s="140" t="s">
        <v>525</v>
      </c>
      <c r="C27" s="150" t="s">
        <v>526</v>
      </c>
      <c r="D27" s="158" t="s">
        <v>527</v>
      </c>
      <c r="E27" s="163" t="s">
        <v>711</v>
      </c>
      <c r="F27" s="163" t="s">
        <v>773</v>
      </c>
    </row>
    <row r="28" spans="1:6" x14ac:dyDescent="0.25">
      <c r="A28" s="155">
        <v>1</v>
      </c>
      <c r="B28" s="204" t="s">
        <v>50</v>
      </c>
      <c r="C28" s="206"/>
      <c r="D28" s="207" t="s">
        <v>465</v>
      </c>
      <c r="E28" s="163" t="s">
        <v>712</v>
      </c>
      <c r="F28" s="163" t="s">
        <v>774</v>
      </c>
    </row>
    <row r="29" spans="1:6" x14ac:dyDescent="0.25">
      <c r="A29" s="155">
        <v>1</v>
      </c>
      <c r="B29" s="204" t="s">
        <v>50</v>
      </c>
      <c r="C29" s="208"/>
      <c r="D29" s="209" t="s">
        <v>465</v>
      </c>
      <c r="E29" s="163" t="s">
        <v>713</v>
      </c>
      <c r="F29" s="163" t="s">
        <v>775</v>
      </c>
    </row>
    <row r="30" spans="1:6" x14ac:dyDescent="0.25">
      <c r="A30" s="155">
        <v>1</v>
      </c>
      <c r="B30" s="140" t="s">
        <v>528</v>
      </c>
      <c r="C30" s="150" t="s">
        <v>529</v>
      </c>
      <c r="D30" s="158" t="s">
        <v>465</v>
      </c>
      <c r="E30" s="163" t="s">
        <v>714</v>
      </c>
      <c r="F30" s="163" t="s">
        <v>776</v>
      </c>
    </row>
    <row r="31" spans="1:6" ht="30" x14ac:dyDescent="0.25">
      <c r="A31" s="155">
        <v>2</v>
      </c>
      <c r="B31" s="140" t="s">
        <v>530</v>
      </c>
      <c r="C31" s="140" t="s">
        <v>531</v>
      </c>
      <c r="D31" s="150" t="s">
        <v>532</v>
      </c>
      <c r="E31" s="163" t="s">
        <v>715</v>
      </c>
      <c r="F31" s="163" t="s">
        <v>777</v>
      </c>
    </row>
    <row r="32" spans="1:6" ht="30" x14ac:dyDescent="0.25">
      <c r="A32" s="155">
        <v>1</v>
      </c>
      <c r="B32" s="152" t="s">
        <v>533</v>
      </c>
      <c r="C32" s="150" t="s">
        <v>534</v>
      </c>
      <c r="D32" s="158" t="s">
        <v>535</v>
      </c>
      <c r="E32" s="163" t="s">
        <v>716</v>
      </c>
      <c r="F32" s="163" t="s">
        <v>778</v>
      </c>
    </row>
    <row r="33" spans="1:6" ht="30" x14ac:dyDescent="0.25">
      <c r="A33" s="155">
        <v>1</v>
      </c>
      <c r="B33" s="152" t="s">
        <v>536</v>
      </c>
      <c r="C33" s="150" t="s">
        <v>537</v>
      </c>
      <c r="D33" s="158" t="s">
        <v>535</v>
      </c>
      <c r="E33" s="163" t="s">
        <v>717</v>
      </c>
      <c r="F33" s="163" t="s">
        <v>836</v>
      </c>
    </row>
    <row r="34" spans="1:6" x14ac:dyDescent="0.25">
      <c r="A34" s="155">
        <v>1</v>
      </c>
      <c r="B34" s="160" t="s">
        <v>538</v>
      </c>
      <c r="C34" s="161" t="s">
        <v>539</v>
      </c>
      <c r="D34" s="162" t="s">
        <v>465</v>
      </c>
      <c r="E34" s="163" t="s">
        <v>718</v>
      </c>
      <c r="F34" s="163" t="s">
        <v>779</v>
      </c>
    </row>
    <row r="35" spans="1:6" x14ac:dyDescent="0.25">
      <c r="A35" s="155">
        <v>1</v>
      </c>
      <c r="B35" s="204" t="s">
        <v>50</v>
      </c>
      <c r="C35" s="208"/>
      <c r="D35" s="209" t="s">
        <v>465</v>
      </c>
      <c r="E35" s="163" t="s">
        <v>719</v>
      </c>
      <c r="F35" s="163" t="s">
        <v>780</v>
      </c>
    </row>
    <row r="36" spans="1:6" x14ac:dyDescent="0.25">
      <c r="A36" s="164">
        <v>1</v>
      </c>
      <c r="B36" s="210" t="s">
        <v>50</v>
      </c>
      <c r="C36" s="210"/>
      <c r="D36" s="210" t="s">
        <v>465</v>
      </c>
      <c r="E36" s="203" t="s">
        <v>540</v>
      </c>
      <c r="F36" s="163" t="s">
        <v>781</v>
      </c>
    </row>
    <row r="37" spans="1:6" x14ac:dyDescent="0.25">
      <c r="A37" s="165">
        <v>1</v>
      </c>
      <c r="B37" s="204" t="s">
        <v>50</v>
      </c>
      <c r="C37" s="208"/>
      <c r="D37" s="209" t="s">
        <v>465</v>
      </c>
      <c r="E37" s="203" t="s">
        <v>540</v>
      </c>
      <c r="F37" s="163" t="s">
        <v>782</v>
      </c>
    </row>
    <row r="38" spans="1:6" x14ac:dyDescent="0.25">
      <c r="A38" s="165">
        <v>1</v>
      </c>
      <c r="B38" s="204" t="s">
        <v>50</v>
      </c>
      <c r="C38" s="208"/>
      <c r="D38" s="209" t="s">
        <v>465</v>
      </c>
      <c r="E38" s="203" t="s">
        <v>540</v>
      </c>
      <c r="F38" s="163" t="s">
        <v>783</v>
      </c>
    </row>
    <row r="39" spans="1:6" x14ac:dyDescent="0.25">
      <c r="A39" s="165">
        <v>1</v>
      </c>
      <c r="B39" s="204" t="s">
        <v>50</v>
      </c>
      <c r="C39" s="208"/>
      <c r="D39" s="209" t="s">
        <v>465</v>
      </c>
      <c r="E39" s="203" t="s">
        <v>540</v>
      </c>
      <c r="F39" s="163" t="s">
        <v>784</v>
      </c>
    </row>
    <row r="40" spans="1:6" x14ac:dyDescent="0.25">
      <c r="A40" s="165">
        <v>1</v>
      </c>
      <c r="B40" s="146" t="s">
        <v>541</v>
      </c>
      <c r="C40" s="146" t="s">
        <v>542</v>
      </c>
      <c r="D40" s="146" t="s">
        <v>543</v>
      </c>
      <c r="E40" s="203" t="s">
        <v>540</v>
      </c>
      <c r="F40" s="163" t="s">
        <v>785</v>
      </c>
    </row>
    <row r="41" spans="1:6" x14ac:dyDescent="0.25">
      <c r="A41" s="165">
        <v>1</v>
      </c>
      <c r="B41" s="204" t="s">
        <v>50</v>
      </c>
      <c r="C41" s="208"/>
      <c r="D41" s="209" t="s">
        <v>465</v>
      </c>
      <c r="E41" s="203" t="s">
        <v>540</v>
      </c>
      <c r="F41" s="163" t="s">
        <v>786</v>
      </c>
    </row>
    <row r="42" spans="1:6" x14ac:dyDescent="0.25">
      <c r="A42" s="165">
        <v>1</v>
      </c>
      <c r="B42" s="204" t="s">
        <v>50</v>
      </c>
      <c r="C42" s="208"/>
      <c r="D42" s="209" t="s">
        <v>465</v>
      </c>
      <c r="E42" s="203" t="s">
        <v>540</v>
      </c>
      <c r="F42" s="163" t="s">
        <v>787</v>
      </c>
    </row>
    <row r="43" spans="1:6" x14ac:dyDescent="0.25">
      <c r="A43" s="166">
        <v>1</v>
      </c>
      <c r="B43" s="167" t="s">
        <v>544</v>
      </c>
      <c r="C43" s="167" t="s">
        <v>545</v>
      </c>
      <c r="D43" s="147" t="s">
        <v>465</v>
      </c>
      <c r="E43" s="163" t="s">
        <v>720</v>
      </c>
      <c r="F43" s="163" t="s">
        <v>788</v>
      </c>
    </row>
    <row r="44" spans="1:6" x14ac:dyDescent="0.25">
      <c r="A44" s="168">
        <v>1</v>
      </c>
      <c r="B44" s="169" t="s">
        <v>546</v>
      </c>
      <c r="C44" s="169" t="s">
        <v>547</v>
      </c>
      <c r="D44" s="170" t="s">
        <v>465</v>
      </c>
      <c r="E44" s="163" t="s">
        <v>721</v>
      </c>
      <c r="F44" s="163" t="s">
        <v>789</v>
      </c>
    </row>
    <row r="45" spans="1:6" x14ac:dyDescent="0.25">
      <c r="A45" s="168">
        <v>1</v>
      </c>
      <c r="B45" s="169" t="s">
        <v>548</v>
      </c>
      <c r="C45" s="169" t="s">
        <v>549</v>
      </c>
      <c r="D45" s="170" t="s">
        <v>465</v>
      </c>
      <c r="E45" s="163" t="s">
        <v>722</v>
      </c>
      <c r="F45" s="163" t="s">
        <v>790</v>
      </c>
    </row>
    <row r="46" spans="1:6" x14ac:dyDescent="0.25">
      <c r="A46" s="168">
        <v>1</v>
      </c>
      <c r="B46" s="169" t="s">
        <v>550</v>
      </c>
      <c r="C46" s="169" t="s">
        <v>551</v>
      </c>
      <c r="D46" s="170" t="s">
        <v>465</v>
      </c>
      <c r="E46" s="163" t="s">
        <v>723</v>
      </c>
      <c r="F46" s="163" t="s">
        <v>791</v>
      </c>
    </row>
    <row r="47" spans="1:6" x14ac:dyDescent="0.25">
      <c r="A47" s="168">
        <v>1</v>
      </c>
      <c r="B47" s="169" t="s">
        <v>552</v>
      </c>
      <c r="C47" s="169" t="s">
        <v>553</v>
      </c>
      <c r="D47" s="170" t="s">
        <v>465</v>
      </c>
      <c r="E47" s="163" t="s">
        <v>724</v>
      </c>
      <c r="F47" s="163" t="s">
        <v>792</v>
      </c>
    </row>
    <row r="48" spans="1:6" x14ac:dyDescent="0.25">
      <c r="A48" s="168">
        <v>1</v>
      </c>
      <c r="B48" s="169" t="s">
        <v>554</v>
      </c>
      <c r="C48" s="169" t="s">
        <v>555</v>
      </c>
      <c r="D48" s="170" t="s">
        <v>465</v>
      </c>
      <c r="E48" s="163" t="s">
        <v>725</v>
      </c>
      <c r="F48" s="163" t="s">
        <v>793</v>
      </c>
    </row>
    <row r="49" spans="1:11" x14ac:dyDescent="0.25">
      <c r="A49" s="168">
        <v>1</v>
      </c>
      <c r="B49" s="169" t="s">
        <v>556</v>
      </c>
      <c r="C49" s="169" t="s">
        <v>557</v>
      </c>
      <c r="D49" s="170" t="s">
        <v>465</v>
      </c>
      <c r="E49" s="163" t="s">
        <v>726</v>
      </c>
      <c r="F49" s="163" t="s">
        <v>794</v>
      </c>
    </row>
    <row r="50" spans="1:11" x14ac:dyDescent="0.25">
      <c r="A50" s="168">
        <v>1</v>
      </c>
      <c r="B50" s="169" t="s">
        <v>558</v>
      </c>
      <c r="C50" s="169" t="s">
        <v>559</v>
      </c>
      <c r="D50" s="170" t="s">
        <v>465</v>
      </c>
      <c r="E50" s="163" t="s">
        <v>727</v>
      </c>
      <c r="F50" s="163" t="s">
        <v>795</v>
      </c>
    </row>
    <row r="51" spans="1:11" x14ac:dyDescent="0.25">
      <c r="A51" s="164">
        <v>17</v>
      </c>
      <c r="B51" s="210" t="s">
        <v>50</v>
      </c>
      <c r="C51" s="211"/>
      <c r="D51" s="210" t="s">
        <v>465</v>
      </c>
      <c r="E51" s="203" t="s">
        <v>540</v>
      </c>
      <c r="F51" s="163" t="s">
        <v>796</v>
      </c>
    </row>
    <row r="52" spans="1:11" x14ac:dyDescent="0.25">
      <c r="A52" s="154"/>
      <c r="B52" s="154"/>
      <c r="C52" s="144"/>
      <c r="D52" s="144" t="s">
        <v>465</v>
      </c>
      <c r="E52" s="154"/>
      <c r="F52" s="154"/>
    </row>
    <row r="53" spans="1:11" s="174" customFormat="1" x14ac:dyDescent="0.25">
      <c r="A53" s="133" t="s">
        <v>675</v>
      </c>
      <c r="B53" s="133"/>
      <c r="C53" s="134" t="s">
        <v>465</v>
      </c>
      <c r="D53" s="135" t="s">
        <v>465</v>
      </c>
      <c r="E53" s="172" t="s">
        <v>465</v>
      </c>
      <c r="F53" s="194" t="s">
        <v>465</v>
      </c>
      <c r="G53" s="173"/>
      <c r="H53" s="173"/>
      <c r="I53" s="173"/>
      <c r="J53" s="173"/>
      <c r="K53" s="173"/>
    </row>
    <row r="54" spans="1:11" x14ac:dyDescent="0.25">
      <c r="A54" s="136" t="s">
        <v>462</v>
      </c>
      <c r="B54" s="137" t="s">
        <v>41</v>
      </c>
      <c r="C54" s="138" t="s">
        <v>464</v>
      </c>
      <c r="D54" s="139" t="s">
        <v>465</v>
      </c>
      <c r="E54" s="175" t="s">
        <v>466</v>
      </c>
      <c r="F54" s="195" t="s">
        <v>560</v>
      </c>
    </row>
    <row r="55" spans="1:11" x14ac:dyDescent="0.25">
      <c r="A55" s="155" t="s">
        <v>607</v>
      </c>
      <c r="B55" s="140" t="s">
        <v>608</v>
      </c>
      <c r="C55" s="140" t="s">
        <v>609</v>
      </c>
      <c r="D55" s="150" t="s">
        <v>610</v>
      </c>
      <c r="E55" s="149" t="s">
        <v>728</v>
      </c>
      <c r="F55" s="196" t="s">
        <v>797</v>
      </c>
    </row>
    <row r="56" spans="1:11" ht="45" x14ac:dyDescent="0.25">
      <c r="A56" s="155">
        <v>1</v>
      </c>
      <c r="B56" s="140" t="s">
        <v>611</v>
      </c>
      <c r="C56" s="140" t="s">
        <v>612</v>
      </c>
      <c r="D56" s="150" t="s">
        <v>613</v>
      </c>
      <c r="E56" s="149" t="s">
        <v>729</v>
      </c>
      <c r="F56" s="196" t="s">
        <v>798</v>
      </c>
    </row>
    <row r="57" spans="1:11" x14ac:dyDescent="0.25">
      <c r="A57" s="155">
        <v>5</v>
      </c>
      <c r="B57" s="204" t="s">
        <v>50</v>
      </c>
      <c r="C57" s="204"/>
      <c r="D57" s="208" t="s">
        <v>465</v>
      </c>
      <c r="E57" s="149" t="s">
        <v>730</v>
      </c>
      <c r="F57" s="196" t="s">
        <v>799</v>
      </c>
    </row>
    <row r="58" spans="1:11" ht="30" x14ac:dyDescent="0.25">
      <c r="A58" s="155">
        <v>2</v>
      </c>
      <c r="B58" s="140" t="s">
        <v>530</v>
      </c>
      <c r="C58" s="140" t="s">
        <v>531</v>
      </c>
      <c r="D58" s="150" t="s">
        <v>532</v>
      </c>
      <c r="E58" s="149" t="s">
        <v>731</v>
      </c>
      <c r="F58" s="196" t="s">
        <v>800</v>
      </c>
    </row>
    <row r="59" spans="1:11" x14ac:dyDescent="0.25">
      <c r="A59" s="155">
        <v>2</v>
      </c>
      <c r="B59" s="204" t="s">
        <v>50</v>
      </c>
      <c r="C59" s="204"/>
      <c r="D59" s="208" t="s">
        <v>465</v>
      </c>
      <c r="E59" s="149" t="s">
        <v>732</v>
      </c>
      <c r="F59" s="196" t="s">
        <v>801</v>
      </c>
    </row>
    <row r="60" spans="1:11" ht="30" x14ac:dyDescent="0.25">
      <c r="A60" s="177">
        <v>1</v>
      </c>
      <c r="B60" s="140" t="s">
        <v>614</v>
      </c>
      <c r="C60" s="140" t="s">
        <v>615</v>
      </c>
      <c r="D60" s="150" t="s">
        <v>616</v>
      </c>
      <c r="E60" s="149" t="s">
        <v>733</v>
      </c>
      <c r="F60" s="196" t="s">
        <v>802</v>
      </c>
    </row>
    <row r="61" spans="1:11" ht="30" x14ac:dyDescent="0.25">
      <c r="A61" s="177">
        <v>1</v>
      </c>
      <c r="B61" s="140" t="s">
        <v>617</v>
      </c>
      <c r="C61" s="140" t="s">
        <v>618</v>
      </c>
      <c r="D61" s="140" t="s">
        <v>619</v>
      </c>
      <c r="E61" s="149" t="s">
        <v>734</v>
      </c>
      <c r="F61" s="196" t="s">
        <v>803</v>
      </c>
    </row>
    <row r="62" spans="1:11" ht="26.25" customHeight="1" x14ac:dyDescent="0.25">
      <c r="A62" s="155">
        <v>3</v>
      </c>
      <c r="B62" s="140" t="s">
        <v>620</v>
      </c>
      <c r="C62" s="140" t="s">
        <v>621</v>
      </c>
      <c r="D62" s="150" t="s">
        <v>622</v>
      </c>
      <c r="E62" s="149" t="s">
        <v>735</v>
      </c>
      <c r="F62" s="196" t="s">
        <v>804</v>
      </c>
    </row>
    <row r="63" spans="1:11" x14ac:dyDescent="0.25">
      <c r="A63" s="155">
        <v>1</v>
      </c>
      <c r="B63" s="140" t="s">
        <v>623</v>
      </c>
      <c r="C63" s="140" t="s">
        <v>624</v>
      </c>
      <c r="D63" s="150" t="s">
        <v>625</v>
      </c>
      <c r="E63" s="149" t="s">
        <v>736</v>
      </c>
      <c r="F63" s="196" t="s">
        <v>805</v>
      </c>
    </row>
    <row r="64" spans="1:11" x14ac:dyDescent="0.25">
      <c r="A64" s="155">
        <v>2</v>
      </c>
      <c r="B64" s="140" t="s">
        <v>626</v>
      </c>
      <c r="C64" s="140" t="s">
        <v>627</v>
      </c>
      <c r="D64" s="178" t="s">
        <v>465</v>
      </c>
      <c r="E64" s="149" t="s">
        <v>737</v>
      </c>
      <c r="F64" s="196" t="s">
        <v>806</v>
      </c>
    </row>
    <row r="65" spans="1:6" x14ac:dyDescent="0.25">
      <c r="A65" s="155">
        <v>3</v>
      </c>
      <c r="B65" s="204" t="s">
        <v>14</v>
      </c>
      <c r="C65" s="212"/>
      <c r="D65" s="204"/>
      <c r="E65" s="149" t="s">
        <v>738</v>
      </c>
      <c r="F65" s="197" t="s">
        <v>807</v>
      </c>
    </row>
    <row r="66" spans="1:6" x14ac:dyDescent="0.25">
      <c r="A66" s="155">
        <v>1</v>
      </c>
      <c r="B66" s="204" t="s">
        <v>14</v>
      </c>
      <c r="C66" s="204"/>
      <c r="D66" s="204"/>
      <c r="E66" s="149" t="s">
        <v>739</v>
      </c>
      <c r="F66" s="197" t="s">
        <v>808</v>
      </c>
    </row>
    <row r="67" spans="1:6" ht="60" x14ac:dyDescent="0.25">
      <c r="A67" s="155">
        <v>2</v>
      </c>
      <c r="B67" s="140" t="s">
        <v>628</v>
      </c>
      <c r="C67" s="213" t="s">
        <v>629</v>
      </c>
      <c r="D67" s="179" t="s">
        <v>630</v>
      </c>
      <c r="E67" s="156" t="s">
        <v>740</v>
      </c>
      <c r="F67" s="196" t="s">
        <v>809</v>
      </c>
    </row>
    <row r="68" spans="1:6" x14ac:dyDescent="0.25">
      <c r="A68" s="155">
        <v>1</v>
      </c>
      <c r="B68" s="140" t="s">
        <v>631</v>
      </c>
      <c r="C68" s="140" t="s">
        <v>632</v>
      </c>
      <c r="D68" s="142" t="s">
        <v>633</v>
      </c>
      <c r="E68" s="153" t="s">
        <v>741</v>
      </c>
      <c r="F68" s="198" t="s">
        <v>810</v>
      </c>
    </row>
    <row r="69" spans="1:6" x14ac:dyDescent="0.25">
      <c r="A69" s="155">
        <v>1</v>
      </c>
      <c r="B69" s="191" t="s">
        <v>36</v>
      </c>
      <c r="C69" s="214"/>
      <c r="D69" s="215"/>
      <c r="E69" s="149" t="s">
        <v>742</v>
      </c>
      <c r="F69" s="198" t="s">
        <v>811</v>
      </c>
    </row>
    <row r="70" spans="1:6" x14ac:dyDescent="0.25">
      <c r="A70" s="155">
        <v>1</v>
      </c>
      <c r="B70" s="140" t="s">
        <v>634</v>
      </c>
      <c r="C70" s="142" t="s">
        <v>635</v>
      </c>
      <c r="D70" s="142" t="s">
        <v>636</v>
      </c>
      <c r="E70" s="145" t="s">
        <v>743</v>
      </c>
      <c r="F70" s="199" t="s">
        <v>812</v>
      </c>
    </row>
    <row r="71" spans="1:6" ht="30" x14ac:dyDescent="0.25">
      <c r="A71" s="155">
        <v>1</v>
      </c>
      <c r="B71" s="140" t="s">
        <v>637</v>
      </c>
      <c r="C71" s="147" t="s">
        <v>638</v>
      </c>
      <c r="D71" s="147" t="s">
        <v>636</v>
      </c>
      <c r="E71" s="149" t="s">
        <v>744</v>
      </c>
      <c r="F71" s="198" t="s">
        <v>813</v>
      </c>
    </row>
    <row r="72" spans="1:6" x14ac:dyDescent="0.25">
      <c r="A72" s="155">
        <v>1</v>
      </c>
      <c r="B72" s="140" t="s">
        <v>639</v>
      </c>
      <c r="C72" s="142" t="s">
        <v>640</v>
      </c>
      <c r="D72" s="142" t="s">
        <v>641</v>
      </c>
      <c r="E72" s="145" t="s">
        <v>745</v>
      </c>
      <c r="F72" s="199" t="s">
        <v>814</v>
      </c>
    </row>
    <row r="73" spans="1:6" ht="17.25" thickBot="1" x14ac:dyDescent="0.3">
      <c r="A73" s="180">
        <v>2</v>
      </c>
      <c r="B73" s="216" t="s">
        <v>50</v>
      </c>
      <c r="C73" s="216"/>
      <c r="D73" s="217" t="s">
        <v>465</v>
      </c>
      <c r="E73" s="182" t="s">
        <v>746</v>
      </c>
      <c r="F73" s="200" t="s">
        <v>815</v>
      </c>
    </row>
    <row r="74" spans="1:6" ht="30.75" customHeight="1" x14ac:dyDescent="0.25">
      <c r="A74" s="155">
        <v>3</v>
      </c>
      <c r="B74" s="140" t="s">
        <v>642</v>
      </c>
      <c r="C74" s="140" t="s">
        <v>643</v>
      </c>
      <c r="D74" s="218" t="s">
        <v>622</v>
      </c>
      <c r="E74" s="143" t="s">
        <v>747</v>
      </c>
      <c r="F74" s="201" t="s">
        <v>816</v>
      </c>
    </row>
    <row r="75" spans="1:6" x14ac:dyDescent="0.25">
      <c r="A75" s="155">
        <v>1</v>
      </c>
      <c r="B75" s="140" t="s">
        <v>644</v>
      </c>
      <c r="C75" s="140" t="s">
        <v>645</v>
      </c>
      <c r="D75" s="157" t="s">
        <v>646</v>
      </c>
      <c r="E75" s="143" t="s">
        <v>748</v>
      </c>
      <c r="F75" s="202" t="s">
        <v>817</v>
      </c>
    </row>
    <row r="76" spans="1:6" x14ac:dyDescent="0.25">
      <c r="A76" s="155">
        <v>2</v>
      </c>
      <c r="B76" s="140" t="s">
        <v>647</v>
      </c>
      <c r="C76" s="140" t="s">
        <v>648</v>
      </c>
      <c r="D76" s="157" t="s">
        <v>465</v>
      </c>
      <c r="E76" s="143" t="s">
        <v>749</v>
      </c>
      <c r="F76" s="202" t="s">
        <v>818</v>
      </c>
    </row>
    <row r="77" spans="1:6" x14ac:dyDescent="0.25">
      <c r="A77" s="155">
        <v>1</v>
      </c>
      <c r="B77" s="140" t="s">
        <v>649</v>
      </c>
      <c r="C77" s="140" t="s">
        <v>650</v>
      </c>
      <c r="D77" s="157" t="s">
        <v>651</v>
      </c>
      <c r="E77" s="143" t="s">
        <v>750</v>
      </c>
      <c r="F77" s="202" t="s">
        <v>819</v>
      </c>
    </row>
    <row r="78" spans="1:6" x14ac:dyDescent="0.25">
      <c r="A78" s="155">
        <v>1</v>
      </c>
      <c r="B78" s="140" t="s">
        <v>652</v>
      </c>
      <c r="C78" s="140" t="s">
        <v>653</v>
      </c>
      <c r="D78" s="157" t="s">
        <v>465</v>
      </c>
      <c r="E78" s="143" t="s">
        <v>751</v>
      </c>
      <c r="F78" s="202" t="s">
        <v>820</v>
      </c>
    </row>
    <row r="79" spans="1:6" x14ac:dyDescent="0.25">
      <c r="A79" s="155">
        <v>1</v>
      </c>
      <c r="B79" s="140" t="s">
        <v>654</v>
      </c>
      <c r="C79" s="140" t="s">
        <v>655</v>
      </c>
      <c r="D79" s="157" t="s">
        <v>465</v>
      </c>
      <c r="E79" s="143" t="s">
        <v>752</v>
      </c>
      <c r="F79" s="202" t="s">
        <v>821</v>
      </c>
    </row>
    <row r="80" spans="1:6" x14ac:dyDescent="0.25">
      <c r="A80" s="183">
        <v>1</v>
      </c>
      <c r="B80" s="140" t="s">
        <v>656</v>
      </c>
      <c r="C80" s="140" t="s">
        <v>657</v>
      </c>
      <c r="D80" s="157" t="s">
        <v>465</v>
      </c>
      <c r="E80" s="143" t="s">
        <v>753</v>
      </c>
      <c r="F80" s="202" t="s">
        <v>822</v>
      </c>
    </row>
    <row r="81" spans="1:6" x14ac:dyDescent="0.25">
      <c r="A81" s="155">
        <v>1</v>
      </c>
      <c r="B81" s="140" t="s">
        <v>658</v>
      </c>
      <c r="C81" s="140" t="s">
        <v>659</v>
      </c>
      <c r="D81" s="157" t="s">
        <v>660</v>
      </c>
      <c r="E81" s="143" t="s">
        <v>754</v>
      </c>
      <c r="F81" s="202" t="s">
        <v>823</v>
      </c>
    </row>
    <row r="82" spans="1:6" x14ac:dyDescent="0.25">
      <c r="A82" s="155">
        <v>1</v>
      </c>
      <c r="B82" s="140" t="s">
        <v>661</v>
      </c>
      <c r="C82" s="140" t="s">
        <v>662</v>
      </c>
      <c r="D82" s="157" t="s">
        <v>465</v>
      </c>
      <c r="E82" s="143" t="s">
        <v>755</v>
      </c>
      <c r="F82" s="202" t="s">
        <v>824</v>
      </c>
    </row>
    <row r="83" spans="1:6" ht="17.25" thickBot="1" x14ac:dyDescent="0.3">
      <c r="A83" s="180">
        <v>4</v>
      </c>
      <c r="B83" s="216" t="s">
        <v>50</v>
      </c>
      <c r="C83" s="216"/>
      <c r="D83" s="219" t="s">
        <v>465</v>
      </c>
      <c r="E83" s="181" t="s">
        <v>756</v>
      </c>
      <c r="F83" s="200" t="s">
        <v>825</v>
      </c>
    </row>
    <row r="84" spans="1:6" ht="30" customHeight="1" x14ac:dyDescent="0.25">
      <c r="A84" s="155">
        <v>3</v>
      </c>
      <c r="B84" s="140" t="s">
        <v>663</v>
      </c>
      <c r="C84" s="140" t="s">
        <v>664</v>
      </c>
      <c r="D84" s="218" t="s">
        <v>622</v>
      </c>
      <c r="E84" s="143" t="s">
        <v>757</v>
      </c>
      <c r="F84" s="202" t="s">
        <v>826</v>
      </c>
    </row>
    <row r="85" spans="1:6" x14ac:dyDescent="0.25">
      <c r="A85" s="155">
        <v>1</v>
      </c>
      <c r="B85" s="140" t="s">
        <v>665</v>
      </c>
      <c r="C85" s="140" t="s">
        <v>645</v>
      </c>
      <c r="D85" s="157" t="s">
        <v>646</v>
      </c>
      <c r="E85" s="143" t="s">
        <v>758</v>
      </c>
      <c r="F85" s="202" t="s">
        <v>827</v>
      </c>
    </row>
    <row r="86" spans="1:6" x14ac:dyDescent="0.25">
      <c r="A86" s="155">
        <v>2</v>
      </c>
      <c r="B86" s="140" t="s">
        <v>666</v>
      </c>
      <c r="C86" s="140" t="s">
        <v>667</v>
      </c>
      <c r="D86" s="157" t="s">
        <v>465</v>
      </c>
      <c r="E86" s="143" t="s">
        <v>759</v>
      </c>
      <c r="F86" s="202" t="s">
        <v>828</v>
      </c>
    </row>
    <row r="87" spans="1:6" x14ac:dyDescent="0.25">
      <c r="A87" s="155">
        <v>1</v>
      </c>
      <c r="B87" s="140" t="s">
        <v>668</v>
      </c>
      <c r="C87" s="140" t="s">
        <v>650</v>
      </c>
      <c r="D87" s="157" t="s">
        <v>651</v>
      </c>
      <c r="E87" s="143" t="s">
        <v>760</v>
      </c>
      <c r="F87" s="202" t="s">
        <v>829</v>
      </c>
    </row>
    <row r="88" spans="1:6" x14ac:dyDescent="0.25">
      <c r="A88" s="155">
        <v>1</v>
      </c>
      <c r="B88" s="140" t="s">
        <v>669</v>
      </c>
      <c r="C88" s="140" t="s">
        <v>653</v>
      </c>
      <c r="D88" s="157" t="s">
        <v>465</v>
      </c>
      <c r="E88" s="143" t="s">
        <v>761</v>
      </c>
      <c r="F88" s="202" t="s">
        <v>830</v>
      </c>
    </row>
    <row r="89" spans="1:6" x14ac:dyDescent="0.25">
      <c r="A89" s="155">
        <v>1</v>
      </c>
      <c r="B89" s="140" t="s">
        <v>670</v>
      </c>
      <c r="C89" s="140" t="s">
        <v>655</v>
      </c>
      <c r="D89" s="157" t="s">
        <v>465</v>
      </c>
      <c r="E89" s="143" t="s">
        <v>762</v>
      </c>
      <c r="F89" s="202" t="s">
        <v>831</v>
      </c>
    </row>
    <row r="90" spans="1:6" x14ac:dyDescent="0.25">
      <c r="A90" s="183">
        <v>1</v>
      </c>
      <c r="B90" s="140" t="s">
        <v>671</v>
      </c>
      <c r="C90" s="140" t="s">
        <v>657</v>
      </c>
      <c r="D90" s="157" t="s">
        <v>465</v>
      </c>
      <c r="E90" s="143" t="s">
        <v>763</v>
      </c>
      <c r="F90" s="202" t="s">
        <v>832</v>
      </c>
    </row>
    <row r="91" spans="1:6" x14ac:dyDescent="0.25">
      <c r="A91" s="155">
        <v>1</v>
      </c>
      <c r="B91" s="140" t="s">
        <v>672</v>
      </c>
      <c r="C91" s="140" t="s">
        <v>659</v>
      </c>
      <c r="D91" s="157" t="s">
        <v>660</v>
      </c>
      <c r="E91" s="143" t="s">
        <v>764</v>
      </c>
      <c r="F91" s="202" t="s">
        <v>833</v>
      </c>
    </row>
    <row r="92" spans="1:6" x14ac:dyDescent="0.25">
      <c r="A92" s="155">
        <v>1</v>
      </c>
      <c r="B92" s="140" t="s">
        <v>673</v>
      </c>
      <c r="C92" s="140" t="s">
        <v>662</v>
      </c>
      <c r="D92" s="157" t="s">
        <v>465</v>
      </c>
      <c r="E92" s="143" t="s">
        <v>765</v>
      </c>
      <c r="F92" s="202" t="s">
        <v>834</v>
      </c>
    </row>
    <row r="93" spans="1:6" ht="17.25" thickBot="1" x14ac:dyDescent="0.3">
      <c r="A93" s="180">
        <v>4</v>
      </c>
      <c r="B93" s="216" t="s">
        <v>50</v>
      </c>
      <c r="C93" s="216"/>
      <c r="D93" s="219" t="s">
        <v>465</v>
      </c>
      <c r="E93" s="181" t="s">
        <v>766</v>
      </c>
      <c r="F93" s="200" t="s">
        <v>835</v>
      </c>
    </row>
    <row r="94" spans="1:6" x14ac:dyDescent="0.25">
      <c r="C94" s="9"/>
      <c r="D94" s="9"/>
    </row>
    <row r="95" spans="1:6" x14ac:dyDescent="0.25">
      <c r="C95" s="9"/>
      <c r="D95" s="9"/>
    </row>
    <row r="96" spans="1:6" x14ac:dyDescent="0.25">
      <c r="C96" s="9"/>
      <c r="D96" s="9"/>
    </row>
    <row r="97" spans="3:11" x14ac:dyDescent="0.25">
      <c r="C97" s="9"/>
      <c r="D97" s="9"/>
    </row>
    <row r="98" spans="3:11" x14ac:dyDescent="0.25">
      <c r="C98" s="9"/>
      <c r="D98" s="9"/>
    </row>
    <row r="99" spans="3:11" x14ac:dyDescent="0.25">
      <c r="C99" s="9"/>
      <c r="D99" s="9"/>
    </row>
    <row r="100" spans="3:11" x14ac:dyDescent="0.25">
      <c r="C100" s="9"/>
      <c r="D100" s="9"/>
    </row>
    <row r="101" spans="3:11" x14ac:dyDescent="0.25">
      <c r="C101" s="9"/>
      <c r="D101" s="9"/>
    </row>
    <row r="102" spans="3:11" x14ac:dyDescent="0.25">
      <c r="C102" s="9"/>
      <c r="D102" s="9"/>
    </row>
    <row r="103" spans="3:11" x14ac:dyDescent="0.25">
      <c r="C103" s="9"/>
      <c r="D103" s="9"/>
    </row>
    <row r="104" spans="3:11" x14ac:dyDescent="0.25">
      <c r="C104" s="9"/>
      <c r="D104" s="9"/>
    </row>
    <row r="105" spans="3:11" x14ac:dyDescent="0.25">
      <c r="C105" s="9"/>
      <c r="D105" s="9"/>
    </row>
    <row r="106" spans="3:11" x14ac:dyDescent="0.25">
      <c r="C106" s="9"/>
      <c r="D106" s="9"/>
    </row>
    <row r="107" spans="3:11" x14ac:dyDescent="0.25">
      <c r="C107" s="9"/>
      <c r="D107" s="9"/>
    </row>
    <row r="108" spans="3:11" x14ac:dyDescent="0.25">
      <c r="C108" s="9"/>
      <c r="D108" s="9"/>
    </row>
    <row r="109" spans="3:11" s="9" customFormat="1" x14ac:dyDescent="0.25">
      <c r="C109" s="184"/>
      <c r="D109" s="184"/>
      <c r="G109"/>
      <c r="H109"/>
      <c r="I109"/>
      <c r="J109"/>
      <c r="K109"/>
    </row>
    <row r="110" spans="3:11" s="9" customFormat="1" x14ac:dyDescent="0.25">
      <c r="C110" s="131"/>
      <c r="D110" s="131"/>
      <c r="G110"/>
      <c r="H110"/>
      <c r="I110"/>
      <c r="J110"/>
      <c r="K110"/>
    </row>
  </sheetData>
  <phoneticPr fontId="1" type="noConversion"/>
  <pageMargins left="0.7" right="0.7" top="0.75" bottom="0.75" header="0.3" footer="0.3"/>
  <pageSetup paperSize="9" scale="73" fitToHeight="0" orientation="landscape" r:id="rId1"/>
  <rowBreaks count="3" manualBreakCount="3">
    <brk id="18" max="16383" man="1"/>
    <brk id="52" max="16383" man="1"/>
    <brk id="93" max="16383" man="1"/>
  </rowBreaks>
  <ignoredErrors>
    <ignoredError sqref="A2 A3:A11"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G4"/>
  <sheetViews>
    <sheetView zoomScaleNormal="100" workbookViewId="0">
      <pane ySplit="1" topLeftCell="A2" activePane="bottomLeft" state="frozen"/>
      <selection pane="bottomLeft" activeCell="A2" sqref="A2"/>
    </sheetView>
  </sheetViews>
  <sheetFormatPr defaultColWidth="9" defaultRowHeight="15" x14ac:dyDescent="0.25"/>
  <cols>
    <col min="1" max="1" width="16.375" style="19" customWidth="1"/>
    <col min="2" max="2" width="37" style="19" customWidth="1"/>
    <col min="3" max="4" width="10" style="19" customWidth="1"/>
    <col min="5" max="5" width="13.125" style="19" customWidth="1"/>
    <col min="6" max="6" width="67.375" style="19" customWidth="1"/>
    <col min="7" max="7" width="23.125" style="19" customWidth="1"/>
    <col min="8" max="16384" width="9" style="19"/>
  </cols>
  <sheetData>
    <row r="1" spans="1:7" s="56" customFormat="1" ht="36.75" thickBot="1" x14ac:dyDescent="0.3">
      <c r="A1" s="55" t="s">
        <v>40</v>
      </c>
      <c r="B1" s="55" t="s">
        <v>41</v>
      </c>
      <c r="C1" s="55" t="s">
        <v>42</v>
      </c>
      <c r="D1" s="55" t="s">
        <v>43</v>
      </c>
      <c r="E1" s="55" t="s">
        <v>44</v>
      </c>
      <c r="F1" s="55" t="s">
        <v>45</v>
      </c>
      <c r="G1" s="55" t="s">
        <v>444</v>
      </c>
    </row>
    <row r="2" spans="1:7" ht="15.75" thickBot="1" x14ac:dyDescent="0.3">
      <c r="A2" s="59" t="s">
        <v>441</v>
      </c>
      <c r="B2" s="68" t="s">
        <v>867</v>
      </c>
      <c r="C2" s="5">
        <v>48128</v>
      </c>
      <c r="D2" s="5">
        <f t="shared" ref="D2" si="0">QUOTIENT(C2+7,8)</f>
        <v>6016</v>
      </c>
      <c r="E2" s="5">
        <f t="shared" ref="E2" si="1">QUOTIENT(D2+1,2)</f>
        <v>3008</v>
      </c>
      <c r="F2" s="57" t="s">
        <v>868</v>
      </c>
      <c r="G2" s="53"/>
    </row>
    <row r="3" spans="1:7" ht="19.5" customHeight="1" thickBot="1" x14ac:dyDescent="0.3">
      <c r="A3" s="43" t="str">
        <f>DEC2HEX(HEX2DEC(A2)+E2)</f>
        <v>BC0</v>
      </c>
      <c r="B3" s="42" t="s">
        <v>59</v>
      </c>
      <c r="C3" s="43">
        <f>SUM(C2:C2)</f>
        <v>48128</v>
      </c>
      <c r="D3" s="43">
        <f>SUM(D2:D2)</f>
        <v>6016</v>
      </c>
      <c r="E3" s="43">
        <f>SUM(E2:E2)</f>
        <v>3008</v>
      </c>
      <c r="F3" s="43"/>
      <c r="G3" s="44"/>
    </row>
    <row r="4" spans="1:7" ht="17.25" customHeight="1" x14ac:dyDescent="0.25">
      <c r="A4" s="5" t="str">
        <f>DEC2HEX(E4)</f>
        <v>BC0</v>
      </c>
      <c r="B4" s="5" t="s">
        <v>60</v>
      </c>
      <c r="C4" s="5">
        <f>E3*16</f>
        <v>48128</v>
      </c>
      <c r="D4" s="5">
        <f t="shared" ref="D4" si="2">QUOTIENT(C4+7,8)</f>
        <v>6016</v>
      </c>
      <c r="E4" s="5">
        <f t="shared" ref="E4" si="3">QUOTIENT(D4+1,2)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A0FCD-924A-402E-8A77-67DC980A0443}">
  <dimension ref="A1:G49"/>
  <sheetViews>
    <sheetView tabSelected="1" zoomScaleNormal="100" workbookViewId="0">
      <pane ySplit="1" topLeftCell="A2" activePane="bottomLeft" state="frozen"/>
      <selection pane="bottomLeft" activeCell="F35" sqref="F35"/>
    </sheetView>
  </sheetViews>
  <sheetFormatPr defaultColWidth="8.875" defaultRowHeight="16.5" x14ac:dyDescent="0.25"/>
  <cols>
    <col min="1" max="1" width="27.125" customWidth="1"/>
    <col min="2" max="3" width="16.625" customWidth="1"/>
    <col min="4" max="4" width="12" customWidth="1"/>
    <col min="5" max="5" width="11.125" customWidth="1"/>
    <col min="6" max="6" width="13.625" customWidth="1"/>
    <col min="7" max="7" width="52.25" customWidth="1"/>
  </cols>
  <sheetData>
    <row r="1" spans="1:7" ht="36" x14ac:dyDescent="0.25">
      <c r="A1" s="18" t="s">
        <v>41</v>
      </c>
      <c r="B1" s="18" t="s">
        <v>40</v>
      </c>
      <c r="C1" s="18" t="s">
        <v>374</v>
      </c>
      <c r="D1" s="18" t="s">
        <v>42</v>
      </c>
      <c r="E1" s="18" t="s">
        <v>43</v>
      </c>
      <c r="F1" s="18" t="s">
        <v>44</v>
      </c>
      <c r="G1" s="18" t="s">
        <v>45</v>
      </c>
    </row>
    <row r="2" spans="1:7" x14ac:dyDescent="0.25">
      <c r="A2" s="292" t="s">
        <v>375</v>
      </c>
      <c r="B2" s="6">
        <v>1000</v>
      </c>
      <c r="C2" s="6" t="str">
        <f>DEC2HEX(HEX2DEC(B2)*2)</f>
        <v>2000</v>
      </c>
      <c r="D2" s="1">
        <v>32</v>
      </c>
      <c r="E2" s="1">
        <f>QUOTIENT(D2+7,8)</f>
        <v>4</v>
      </c>
      <c r="F2" s="8">
        <f>QUOTIENT(E2+1,2)</f>
        <v>2</v>
      </c>
      <c r="G2" s="243" t="s">
        <v>376</v>
      </c>
    </row>
    <row r="3" spans="1:7" x14ac:dyDescent="0.25">
      <c r="A3" s="293"/>
      <c r="B3" s="6" t="str">
        <f>DEC2HEX(HEX2DEC(B2)+F2)</f>
        <v>1002</v>
      </c>
      <c r="C3" s="6" t="str">
        <f t="shared" ref="C3:C34" si="0">DEC2HEX(HEX2DEC(B3)*2)</f>
        <v>2004</v>
      </c>
      <c r="D3" s="1">
        <v>32</v>
      </c>
      <c r="E3" s="1">
        <f t="shared" ref="E3:E35" si="1">QUOTIENT(D3+7,8)</f>
        <v>4</v>
      </c>
      <c r="F3" s="8">
        <f t="shared" ref="F3:F35" si="2">QUOTIENT(E3+1,2)</f>
        <v>2</v>
      </c>
      <c r="G3" s="23" t="s">
        <v>377</v>
      </c>
    </row>
    <row r="4" spans="1:7" x14ac:dyDescent="0.25">
      <c r="A4" s="293"/>
      <c r="B4" s="6" t="str">
        <f t="shared" ref="B4:B22" si="3">DEC2HEX(HEX2DEC(B3)+F3)</f>
        <v>1004</v>
      </c>
      <c r="C4" s="6" t="str">
        <f t="shared" si="0"/>
        <v>2008</v>
      </c>
      <c r="D4" s="1">
        <v>32</v>
      </c>
      <c r="E4" s="1">
        <f t="shared" si="1"/>
        <v>4</v>
      </c>
      <c r="F4" s="8">
        <f t="shared" si="2"/>
        <v>2</v>
      </c>
      <c r="G4" s="23" t="s">
        <v>378</v>
      </c>
    </row>
    <row r="5" spans="1:7" x14ac:dyDescent="0.25">
      <c r="A5" s="293"/>
      <c r="B5" s="6" t="str">
        <f t="shared" si="3"/>
        <v>1006</v>
      </c>
      <c r="C5" s="6" t="str">
        <f t="shared" si="0"/>
        <v>200C</v>
      </c>
      <c r="D5" s="1">
        <v>32</v>
      </c>
      <c r="E5" s="1">
        <f t="shared" si="1"/>
        <v>4</v>
      </c>
      <c r="F5" s="8">
        <f t="shared" si="2"/>
        <v>2</v>
      </c>
      <c r="G5" s="23" t="s">
        <v>379</v>
      </c>
    </row>
    <row r="6" spans="1:7" x14ac:dyDescent="0.25">
      <c r="A6" s="293"/>
      <c r="B6" s="6" t="str">
        <f t="shared" si="3"/>
        <v>1008</v>
      </c>
      <c r="C6" s="6" t="str">
        <f t="shared" si="0"/>
        <v>2010</v>
      </c>
      <c r="D6" s="1">
        <v>32</v>
      </c>
      <c r="E6" s="1">
        <f t="shared" si="1"/>
        <v>4</v>
      </c>
      <c r="F6" s="8">
        <f t="shared" si="2"/>
        <v>2</v>
      </c>
      <c r="G6" s="23" t="s">
        <v>380</v>
      </c>
    </row>
    <row r="7" spans="1:7" x14ac:dyDescent="0.25">
      <c r="A7" s="293"/>
      <c r="B7" s="6" t="str">
        <f t="shared" si="3"/>
        <v>100A</v>
      </c>
      <c r="C7" s="6" t="str">
        <f t="shared" si="0"/>
        <v>2014</v>
      </c>
      <c r="D7" s="1">
        <v>32</v>
      </c>
      <c r="E7" s="1">
        <f t="shared" si="1"/>
        <v>4</v>
      </c>
      <c r="F7" s="8">
        <f t="shared" si="2"/>
        <v>2</v>
      </c>
      <c r="G7" s="23" t="s">
        <v>381</v>
      </c>
    </row>
    <row r="8" spans="1:7" x14ac:dyDescent="0.25">
      <c r="A8" s="293"/>
      <c r="B8" s="6" t="str">
        <f t="shared" si="3"/>
        <v>100C</v>
      </c>
      <c r="C8" s="6" t="str">
        <f t="shared" si="0"/>
        <v>2018</v>
      </c>
      <c r="D8" s="1">
        <v>32</v>
      </c>
      <c r="E8" s="1">
        <f t="shared" si="1"/>
        <v>4</v>
      </c>
      <c r="F8" s="8">
        <f t="shared" si="2"/>
        <v>2</v>
      </c>
      <c r="G8" s="23" t="s">
        <v>382</v>
      </c>
    </row>
    <row r="9" spans="1:7" x14ac:dyDescent="0.25">
      <c r="A9" s="293"/>
      <c r="B9" s="6" t="str">
        <f t="shared" si="3"/>
        <v>100E</v>
      </c>
      <c r="C9" s="6" t="str">
        <f t="shared" si="0"/>
        <v>201C</v>
      </c>
      <c r="D9" s="1">
        <v>32</v>
      </c>
      <c r="E9" s="1">
        <f t="shared" si="1"/>
        <v>4</v>
      </c>
      <c r="F9" s="8">
        <f t="shared" si="2"/>
        <v>2</v>
      </c>
      <c r="G9" s="23" t="s">
        <v>383</v>
      </c>
    </row>
    <row r="10" spans="1:7" x14ac:dyDescent="0.25">
      <c r="A10" s="293"/>
      <c r="B10" s="6" t="str">
        <f t="shared" si="3"/>
        <v>1010</v>
      </c>
      <c r="C10" s="6" t="str">
        <f t="shared" si="0"/>
        <v>2020</v>
      </c>
      <c r="D10" s="1">
        <v>32</v>
      </c>
      <c r="E10" s="1">
        <f t="shared" si="1"/>
        <v>4</v>
      </c>
      <c r="F10" s="8">
        <f t="shared" si="2"/>
        <v>2</v>
      </c>
      <c r="G10" s="23" t="s">
        <v>384</v>
      </c>
    </row>
    <row r="11" spans="1:7" x14ac:dyDescent="0.25">
      <c r="A11" s="293"/>
      <c r="B11" s="6" t="str">
        <f t="shared" si="3"/>
        <v>1012</v>
      </c>
      <c r="C11" s="6" t="str">
        <f t="shared" si="0"/>
        <v>2024</v>
      </c>
      <c r="D11" s="1">
        <v>32</v>
      </c>
      <c r="E11" s="1">
        <f t="shared" si="1"/>
        <v>4</v>
      </c>
      <c r="F11" s="8">
        <f t="shared" si="2"/>
        <v>2</v>
      </c>
      <c r="G11" s="23" t="s">
        <v>385</v>
      </c>
    </row>
    <row r="12" spans="1:7" x14ac:dyDescent="0.25">
      <c r="A12" s="293"/>
      <c r="B12" s="6" t="str">
        <f t="shared" si="3"/>
        <v>1014</v>
      </c>
      <c r="C12" s="6" t="str">
        <f t="shared" si="0"/>
        <v>2028</v>
      </c>
      <c r="D12" s="1">
        <v>32</v>
      </c>
      <c r="E12" s="1">
        <f t="shared" si="1"/>
        <v>4</v>
      </c>
      <c r="F12" s="8">
        <f t="shared" si="2"/>
        <v>2</v>
      </c>
      <c r="G12" s="23" t="s">
        <v>386</v>
      </c>
    </row>
    <row r="13" spans="1:7" x14ac:dyDescent="0.25">
      <c r="A13" s="293"/>
      <c r="B13" s="6" t="str">
        <f t="shared" si="3"/>
        <v>1016</v>
      </c>
      <c r="C13" s="6" t="str">
        <f t="shared" si="0"/>
        <v>202C</v>
      </c>
      <c r="D13" s="1">
        <v>32</v>
      </c>
      <c r="E13" s="1">
        <f t="shared" si="1"/>
        <v>4</v>
      </c>
      <c r="F13" s="8">
        <f t="shared" si="2"/>
        <v>2</v>
      </c>
      <c r="G13" s="23" t="s">
        <v>387</v>
      </c>
    </row>
    <row r="14" spans="1:7" x14ac:dyDescent="0.25">
      <c r="A14" s="293"/>
      <c r="B14" s="6" t="str">
        <f t="shared" si="3"/>
        <v>1018</v>
      </c>
      <c r="C14" s="6" t="str">
        <f t="shared" si="0"/>
        <v>2030</v>
      </c>
      <c r="D14" s="1">
        <v>32</v>
      </c>
      <c r="E14" s="1">
        <f t="shared" si="1"/>
        <v>4</v>
      </c>
      <c r="F14" s="8">
        <f t="shared" si="2"/>
        <v>2</v>
      </c>
      <c r="G14" s="23" t="s">
        <v>388</v>
      </c>
    </row>
    <row r="15" spans="1:7" x14ac:dyDescent="0.25">
      <c r="A15" s="293"/>
      <c r="B15" s="6" t="str">
        <f t="shared" si="3"/>
        <v>101A</v>
      </c>
      <c r="C15" s="6" t="str">
        <f t="shared" si="0"/>
        <v>2034</v>
      </c>
      <c r="D15" s="1">
        <v>32</v>
      </c>
      <c r="E15" s="1">
        <f t="shared" si="1"/>
        <v>4</v>
      </c>
      <c r="F15" s="8">
        <f t="shared" si="2"/>
        <v>2</v>
      </c>
      <c r="G15" s="23" t="s">
        <v>389</v>
      </c>
    </row>
    <row r="16" spans="1:7" x14ac:dyDescent="0.25">
      <c r="A16" s="293"/>
      <c r="B16" s="6" t="str">
        <f t="shared" si="3"/>
        <v>101C</v>
      </c>
      <c r="C16" s="6" t="str">
        <f t="shared" si="0"/>
        <v>2038</v>
      </c>
      <c r="D16" s="1">
        <v>32</v>
      </c>
      <c r="E16" s="1">
        <f t="shared" si="1"/>
        <v>4</v>
      </c>
      <c r="F16" s="8">
        <f t="shared" si="2"/>
        <v>2</v>
      </c>
      <c r="G16" s="23" t="s">
        <v>390</v>
      </c>
    </row>
    <row r="17" spans="1:7" x14ac:dyDescent="0.25">
      <c r="A17" s="293"/>
      <c r="B17" s="6" t="str">
        <f t="shared" si="3"/>
        <v>101E</v>
      </c>
      <c r="C17" s="6" t="str">
        <f t="shared" si="0"/>
        <v>203C</v>
      </c>
      <c r="D17" s="1">
        <v>32</v>
      </c>
      <c r="E17" s="1">
        <f t="shared" si="1"/>
        <v>4</v>
      </c>
      <c r="F17" s="8">
        <f t="shared" si="2"/>
        <v>2</v>
      </c>
      <c r="G17" s="23" t="s">
        <v>391</v>
      </c>
    </row>
    <row r="18" spans="1:7" x14ac:dyDescent="0.25">
      <c r="A18" s="293"/>
      <c r="B18" s="6" t="str">
        <f t="shared" si="3"/>
        <v>1020</v>
      </c>
      <c r="C18" s="6" t="str">
        <f t="shared" si="0"/>
        <v>2040</v>
      </c>
      <c r="D18" s="1">
        <v>32</v>
      </c>
      <c r="E18" s="1">
        <f t="shared" si="1"/>
        <v>4</v>
      </c>
      <c r="F18" s="8">
        <f t="shared" si="2"/>
        <v>2</v>
      </c>
      <c r="G18" s="7" t="s">
        <v>392</v>
      </c>
    </row>
    <row r="19" spans="1:7" x14ac:dyDescent="0.25">
      <c r="A19" s="293"/>
      <c r="B19" s="6" t="str">
        <f t="shared" si="3"/>
        <v>1022</v>
      </c>
      <c r="C19" s="6" t="str">
        <f t="shared" si="0"/>
        <v>2044</v>
      </c>
      <c r="D19" s="1">
        <v>32</v>
      </c>
      <c r="E19" s="1">
        <f t="shared" si="1"/>
        <v>4</v>
      </c>
      <c r="F19" s="8">
        <f t="shared" si="2"/>
        <v>2</v>
      </c>
      <c r="G19" s="7" t="s">
        <v>393</v>
      </c>
    </row>
    <row r="20" spans="1:7" x14ac:dyDescent="0.25">
      <c r="A20" s="293"/>
      <c r="B20" s="6" t="str">
        <f t="shared" si="3"/>
        <v>1024</v>
      </c>
      <c r="C20" s="6" t="str">
        <f t="shared" si="0"/>
        <v>2048</v>
      </c>
      <c r="D20" s="1">
        <v>32</v>
      </c>
      <c r="E20" s="1">
        <f t="shared" si="1"/>
        <v>4</v>
      </c>
      <c r="F20" s="8">
        <f t="shared" si="2"/>
        <v>2</v>
      </c>
      <c r="G20" s="7" t="s">
        <v>394</v>
      </c>
    </row>
    <row r="21" spans="1:7" x14ac:dyDescent="0.25">
      <c r="A21" s="293"/>
      <c r="B21" s="6" t="str">
        <f t="shared" si="3"/>
        <v>1026</v>
      </c>
      <c r="C21" s="6" t="str">
        <f t="shared" si="0"/>
        <v>204C</v>
      </c>
      <c r="D21" s="1">
        <v>32</v>
      </c>
      <c r="E21" s="1">
        <f t="shared" si="1"/>
        <v>4</v>
      </c>
      <c r="F21" s="8">
        <f t="shared" si="2"/>
        <v>2</v>
      </c>
      <c r="G21" s="7" t="s">
        <v>395</v>
      </c>
    </row>
    <row r="22" spans="1:7" ht="17.25" thickBot="1" x14ac:dyDescent="0.3">
      <c r="A22" s="293"/>
      <c r="B22" s="6" t="str">
        <f t="shared" si="3"/>
        <v>1028</v>
      </c>
      <c r="C22" s="6" t="str">
        <f t="shared" si="0"/>
        <v>2050</v>
      </c>
      <c r="D22" s="1">
        <v>1920</v>
      </c>
      <c r="E22" s="1">
        <f t="shared" si="1"/>
        <v>240</v>
      </c>
      <c r="F22" s="8">
        <f t="shared" si="2"/>
        <v>120</v>
      </c>
      <c r="G22" s="7" t="s">
        <v>903</v>
      </c>
    </row>
    <row r="23" spans="1:7" ht="17.25" thickBot="1" x14ac:dyDescent="0.3">
      <c r="A23" s="37" t="s">
        <v>396</v>
      </c>
      <c r="B23" s="45" t="str">
        <f>DEC2HEX(HEX2DEC(B22)+F22)</f>
        <v>10A0</v>
      </c>
      <c r="C23" s="45" t="str">
        <f t="shared" si="0"/>
        <v>2140</v>
      </c>
      <c r="D23" s="47">
        <f>SUM(D2:D22)</f>
        <v>2560</v>
      </c>
      <c r="E23" s="46">
        <f>SUM(E2:E22)</f>
        <v>320</v>
      </c>
      <c r="F23" s="45">
        <f>SUM(F2:F22)</f>
        <v>160</v>
      </c>
      <c r="G23" s="244" t="s">
        <v>397</v>
      </c>
    </row>
    <row r="24" spans="1:7" x14ac:dyDescent="0.25">
      <c r="A24" s="294" t="s">
        <v>398</v>
      </c>
      <c r="B24" s="54" t="s">
        <v>399</v>
      </c>
      <c r="C24" s="54" t="str">
        <f t="shared" si="0"/>
        <v>2140</v>
      </c>
      <c r="D24" s="1">
        <v>384</v>
      </c>
      <c r="E24" s="4">
        <f t="shared" si="1"/>
        <v>48</v>
      </c>
      <c r="F24" s="40">
        <f t="shared" si="2"/>
        <v>24</v>
      </c>
      <c r="G24" s="243" t="s">
        <v>400</v>
      </c>
    </row>
    <row r="25" spans="1:7" x14ac:dyDescent="0.25">
      <c r="A25" s="293"/>
      <c r="B25" s="6" t="str">
        <f t="shared" ref="B25:B43" si="4">DEC2HEX(HEX2DEC(B24)+F24)</f>
        <v>10B8</v>
      </c>
      <c r="C25" s="6" t="str">
        <f t="shared" si="0"/>
        <v>2170</v>
      </c>
      <c r="D25" s="1">
        <v>384</v>
      </c>
      <c r="E25" s="1">
        <f t="shared" si="1"/>
        <v>48</v>
      </c>
      <c r="F25" s="8">
        <f t="shared" si="2"/>
        <v>24</v>
      </c>
      <c r="G25" s="23" t="s">
        <v>401</v>
      </c>
    </row>
    <row r="26" spans="1:7" x14ac:dyDescent="0.25">
      <c r="A26" s="293"/>
      <c r="B26" s="6" t="str">
        <f t="shared" si="4"/>
        <v>10D0</v>
      </c>
      <c r="C26" s="6" t="str">
        <f t="shared" si="0"/>
        <v>21A0</v>
      </c>
      <c r="D26" s="1">
        <v>384</v>
      </c>
      <c r="E26" s="1">
        <f t="shared" si="1"/>
        <v>48</v>
      </c>
      <c r="F26" s="8">
        <f t="shared" si="2"/>
        <v>24</v>
      </c>
      <c r="G26" s="23" t="s">
        <v>402</v>
      </c>
    </row>
    <row r="27" spans="1:7" x14ac:dyDescent="0.25">
      <c r="A27" s="293"/>
      <c r="B27" s="6" t="str">
        <f t="shared" si="4"/>
        <v>10E8</v>
      </c>
      <c r="C27" s="6" t="str">
        <f t="shared" si="0"/>
        <v>21D0</v>
      </c>
      <c r="D27" s="1">
        <v>384</v>
      </c>
      <c r="E27" s="1">
        <f t="shared" si="1"/>
        <v>48</v>
      </c>
      <c r="F27" s="8">
        <f t="shared" si="2"/>
        <v>24</v>
      </c>
      <c r="G27" s="23" t="s">
        <v>403</v>
      </c>
    </row>
    <row r="28" spans="1:7" x14ac:dyDescent="0.25">
      <c r="A28" s="293"/>
      <c r="B28" s="6" t="str">
        <f t="shared" si="4"/>
        <v>1100</v>
      </c>
      <c r="C28" s="6" t="str">
        <f t="shared" si="0"/>
        <v>2200</v>
      </c>
      <c r="D28" s="1">
        <v>384</v>
      </c>
      <c r="E28" s="1">
        <f t="shared" si="1"/>
        <v>48</v>
      </c>
      <c r="F28" s="8">
        <f t="shared" si="2"/>
        <v>24</v>
      </c>
      <c r="G28" s="23" t="s">
        <v>404</v>
      </c>
    </row>
    <row r="29" spans="1:7" x14ac:dyDescent="0.25">
      <c r="A29" s="293"/>
      <c r="B29" s="6" t="str">
        <f t="shared" si="4"/>
        <v>1118</v>
      </c>
      <c r="C29" s="6" t="str">
        <f t="shared" si="0"/>
        <v>2230</v>
      </c>
      <c r="D29" s="1">
        <v>384</v>
      </c>
      <c r="E29" s="1">
        <f t="shared" si="1"/>
        <v>48</v>
      </c>
      <c r="F29" s="8">
        <f t="shared" si="2"/>
        <v>24</v>
      </c>
      <c r="G29" s="23" t="s">
        <v>405</v>
      </c>
    </row>
    <row r="30" spans="1:7" x14ac:dyDescent="0.25">
      <c r="A30" s="293"/>
      <c r="B30" s="6" t="str">
        <f t="shared" si="4"/>
        <v>1130</v>
      </c>
      <c r="C30" s="6" t="str">
        <f t="shared" si="0"/>
        <v>2260</v>
      </c>
      <c r="D30" s="1">
        <v>384</v>
      </c>
      <c r="E30" s="1">
        <f t="shared" si="1"/>
        <v>48</v>
      </c>
      <c r="F30" s="8">
        <f t="shared" si="2"/>
        <v>24</v>
      </c>
      <c r="G30" s="23" t="s">
        <v>406</v>
      </c>
    </row>
    <row r="31" spans="1:7" x14ac:dyDescent="0.25">
      <c r="A31" s="293"/>
      <c r="B31" s="6" t="str">
        <f t="shared" si="4"/>
        <v>1148</v>
      </c>
      <c r="C31" s="6" t="str">
        <f t="shared" si="0"/>
        <v>2290</v>
      </c>
      <c r="D31" s="1">
        <v>384</v>
      </c>
      <c r="E31" s="1">
        <f t="shared" si="1"/>
        <v>48</v>
      </c>
      <c r="F31" s="8">
        <f t="shared" si="2"/>
        <v>24</v>
      </c>
      <c r="G31" s="23" t="s">
        <v>407</v>
      </c>
    </row>
    <row r="32" spans="1:7" x14ac:dyDescent="0.25">
      <c r="A32" s="293"/>
      <c r="B32" s="6" t="str">
        <f t="shared" si="4"/>
        <v>1160</v>
      </c>
      <c r="C32" s="6" t="str">
        <f t="shared" si="0"/>
        <v>22C0</v>
      </c>
      <c r="D32" s="1">
        <v>384</v>
      </c>
      <c r="E32" s="1">
        <f t="shared" si="1"/>
        <v>48</v>
      </c>
      <c r="F32" s="8">
        <f t="shared" si="2"/>
        <v>24</v>
      </c>
      <c r="G32" s="23" t="s">
        <v>408</v>
      </c>
    </row>
    <row r="33" spans="1:7" x14ac:dyDescent="0.25">
      <c r="A33" s="293"/>
      <c r="B33" s="6" t="str">
        <f t="shared" si="4"/>
        <v>1178</v>
      </c>
      <c r="C33" s="6" t="str">
        <f t="shared" si="0"/>
        <v>22F0</v>
      </c>
      <c r="D33" s="1">
        <v>384</v>
      </c>
      <c r="E33" s="1">
        <f t="shared" si="1"/>
        <v>48</v>
      </c>
      <c r="F33" s="8">
        <f t="shared" si="2"/>
        <v>24</v>
      </c>
      <c r="G33" s="23" t="s">
        <v>409</v>
      </c>
    </row>
    <row r="34" spans="1:7" x14ac:dyDescent="0.25">
      <c r="A34" s="293"/>
      <c r="B34" s="6" t="str">
        <f t="shared" si="4"/>
        <v>1190</v>
      </c>
      <c r="C34" s="6" t="str">
        <f t="shared" si="0"/>
        <v>2320</v>
      </c>
      <c r="D34" s="1">
        <v>384</v>
      </c>
      <c r="E34" s="1">
        <f t="shared" si="1"/>
        <v>48</v>
      </c>
      <c r="F34" s="8">
        <f t="shared" si="2"/>
        <v>24</v>
      </c>
      <c r="G34" s="23" t="s">
        <v>410</v>
      </c>
    </row>
    <row r="35" spans="1:7" x14ac:dyDescent="0.25">
      <c r="A35" s="293"/>
      <c r="B35" s="6" t="str">
        <f t="shared" si="4"/>
        <v>11A8</v>
      </c>
      <c r="C35" s="6" t="str">
        <f t="shared" ref="C35:C43" si="5">DEC2HEX(HEX2DEC(B35)*2)</f>
        <v>2350</v>
      </c>
      <c r="D35" s="1">
        <v>384</v>
      </c>
      <c r="E35" s="1">
        <f t="shared" si="1"/>
        <v>48</v>
      </c>
      <c r="F35" s="8">
        <f t="shared" si="2"/>
        <v>24</v>
      </c>
      <c r="G35" s="23" t="s">
        <v>411</v>
      </c>
    </row>
    <row r="36" spans="1:7" x14ac:dyDescent="0.25">
      <c r="A36" s="293"/>
      <c r="B36" s="6" t="str">
        <f t="shared" si="4"/>
        <v>11C0</v>
      </c>
      <c r="C36" s="6" t="str">
        <f t="shared" si="5"/>
        <v>2380</v>
      </c>
      <c r="D36" s="1">
        <v>384</v>
      </c>
      <c r="E36" s="1">
        <f t="shared" ref="E36:E43" si="6">QUOTIENT(D36+7,8)</f>
        <v>48</v>
      </c>
      <c r="F36" s="8">
        <f t="shared" ref="F36:F43" si="7">QUOTIENT(E36+1,2)</f>
        <v>24</v>
      </c>
      <c r="G36" s="23" t="s">
        <v>412</v>
      </c>
    </row>
    <row r="37" spans="1:7" x14ac:dyDescent="0.25">
      <c r="A37" s="293"/>
      <c r="B37" s="6" t="str">
        <f t="shared" si="4"/>
        <v>11D8</v>
      </c>
      <c r="C37" s="6" t="str">
        <f t="shared" si="5"/>
        <v>23B0</v>
      </c>
      <c r="D37" s="1">
        <v>384</v>
      </c>
      <c r="E37" s="1">
        <f t="shared" si="6"/>
        <v>48</v>
      </c>
      <c r="F37" s="8">
        <f t="shared" si="7"/>
        <v>24</v>
      </c>
      <c r="G37" s="23" t="s">
        <v>413</v>
      </c>
    </row>
    <row r="38" spans="1:7" x14ac:dyDescent="0.25">
      <c r="A38" s="293"/>
      <c r="B38" s="6" t="str">
        <f t="shared" si="4"/>
        <v>11F0</v>
      </c>
      <c r="C38" s="6" t="str">
        <f t="shared" si="5"/>
        <v>23E0</v>
      </c>
      <c r="D38" s="1">
        <v>384</v>
      </c>
      <c r="E38" s="1">
        <f t="shared" si="6"/>
        <v>48</v>
      </c>
      <c r="F38" s="8">
        <f t="shared" si="7"/>
        <v>24</v>
      </c>
      <c r="G38" s="23" t="s">
        <v>414</v>
      </c>
    </row>
    <row r="39" spans="1:7" x14ac:dyDescent="0.25">
      <c r="A39" s="293"/>
      <c r="B39" s="6" t="str">
        <f t="shared" si="4"/>
        <v>1208</v>
      </c>
      <c r="C39" s="6" t="str">
        <f t="shared" si="5"/>
        <v>2410</v>
      </c>
      <c r="D39" s="1">
        <v>384</v>
      </c>
      <c r="E39" s="1">
        <f t="shared" si="6"/>
        <v>48</v>
      </c>
      <c r="F39" s="8">
        <f t="shared" si="7"/>
        <v>24</v>
      </c>
      <c r="G39" s="23" t="s">
        <v>415</v>
      </c>
    </row>
    <row r="40" spans="1:7" x14ac:dyDescent="0.25">
      <c r="A40" s="293"/>
      <c r="B40" s="6" t="str">
        <f t="shared" si="4"/>
        <v>1220</v>
      </c>
      <c r="C40" s="6" t="str">
        <f t="shared" si="5"/>
        <v>2440</v>
      </c>
      <c r="D40" s="1">
        <v>256</v>
      </c>
      <c r="E40" s="1">
        <f t="shared" si="6"/>
        <v>32</v>
      </c>
      <c r="F40" s="8">
        <f t="shared" si="7"/>
        <v>16</v>
      </c>
      <c r="G40" s="7" t="s">
        <v>416</v>
      </c>
    </row>
    <row r="41" spans="1:7" x14ac:dyDescent="0.25">
      <c r="A41" s="293"/>
      <c r="B41" s="6" t="str">
        <f t="shared" si="4"/>
        <v>1230</v>
      </c>
      <c r="C41" s="6" t="str">
        <f t="shared" si="5"/>
        <v>2460</v>
      </c>
      <c r="D41" s="1">
        <v>256</v>
      </c>
      <c r="E41" s="1">
        <f t="shared" si="6"/>
        <v>32</v>
      </c>
      <c r="F41" s="8">
        <f t="shared" si="7"/>
        <v>16</v>
      </c>
      <c r="G41" s="7" t="s">
        <v>417</v>
      </c>
    </row>
    <row r="42" spans="1:7" x14ac:dyDescent="0.25">
      <c r="A42" s="293"/>
      <c r="B42" s="6" t="str">
        <f t="shared" si="4"/>
        <v>1240</v>
      </c>
      <c r="C42" s="6" t="str">
        <f t="shared" si="5"/>
        <v>2480</v>
      </c>
      <c r="D42" s="1">
        <v>256</v>
      </c>
      <c r="E42" s="1">
        <f t="shared" si="6"/>
        <v>32</v>
      </c>
      <c r="F42" s="8">
        <f t="shared" si="7"/>
        <v>16</v>
      </c>
      <c r="G42" s="7" t="s">
        <v>418</v>
      </c>
    </row>
    <row r="43" spans="1:7" x14ac:dyDescent="0.25">
      <c r="A43" s="293"/>
      <c r="B43" s="6" t="str">
        <f t="shared" si="4"/>
        <v>1250</v>
      </c>
      <c r="C43" s="6" t="str">
        <f t="shared" si="5"/>
        <v>24A0</v>
      </c>
      <c r="D43" s="1">
        <v>256</v>
      </c>
      <c r="E43" s="1">
        <f t="shared" si="6"/>
        <v>32</v>
      </c>
      <c r="F43" s="8">
        <f t="shared" si="7"/>
        <v>16</v>
      </c>
      <c r="G43" s="7" t="s">
        <v>419</v>
      </c>
    </row>
    <row r="44" spans="1:7" ht="17.25" thickBot="1" x14ac:dyDescent="0.3">
      <c r="A44" s="293"/>
      <c r="B44" s="62" t="str">
        <f>DEC2HEX(HEX2DEC(B43)+F43)</f>
        <v>1260</v>
      </c>
      <c r="C44" s="62" t="str">
        <f t="shared" ref="C44:C45" si="8">DEC2HEX(HEX2DEC(B44)*2)</f>
        <v>24C0</v>
      </c>
      <c r="D44" s="34">
        <v>39424</v>
      </c>
      <c r="E44" s="34">
        <f t="shared" ref="E44" si="9">QUOTIENT(D44+7,8)</f>
        <v>4928</v>
      </c>
      <c r="F44" s="33">
        <f t="shared" ref="F44" si="10">QUOTIENT(E44+1,2)</f>
        <v>2464</v>
      </c>
      <c r="G44" s="36" t="s">
        <v>37</v>
      </c>
    </row>
    <row r="45" spans="1:7" x14ac:dyDescent="0.25">
      <c r="A45" s="37" t="s">
        <v>420</v>
      </c>
      <c r="B45" s="63" t="str">
        <f t="shared" ref="B45" si="11">DEC2HEX(HEX2DEC(B44)+F44)</f>
        <v>1C00</v>
      </c>
      <c r="C45" s="63" t="str">
        <f t="shared" si="8"/>
        <v>3800</v>
      </c>
      <c r="D45" s="46"/>
      <c r="E45" s="47"/>
      <c r="F45" s="48">
        <f>SUM(F24:F44)</f>
        <v>2912</v>
      </c>
      <c r="G45" s="48"/>
    </row>
    <row r="46" spans="1:7" x14ac:dyDescent="0.25">
      <c r="A46" s="49" t="s">
        <v>421</v>
      </c>
      <c r="B46" s="49" t="str">
        <f>DEC2HEX(F46)</f>
        <v>C00</v>
      </c>
      <c r="C46" s="49"/>
      <c r="D46" s="49">
        <f>F46*16</f>
        <v>49152</v>
      </c>
      <c r="E46" s="49"/>
      <c r="F46" s="49">
        <f>F45+F23</f>
        <v>3072</v>
      </c>
      <c r="G46" s="49"/>
    </row>
    <row r="47" spans="1:7" x14ac:dyDescent="0.25">
      <c r="A47" s="3" t="s">
        <v>38</v>
      </c>
      <c r="B47" s="35" t="s">
        <v>39</v>
      </c>
      <c r="C47" s="50"/>
    </row>
    <row r="49" spans="2:6" x14ac:dyDescent="0.25">
      <c r="B49" s="8" t="s">
        <v>422</v>
      </c>
      <c r="C49" s="8" t="str">
        <f t="shared" ref="C49" si="12">DEC2HEX(HEX2DEC(B49)*2)</f>
        <v>1800</v>
      </c>
      <c r="D49" s="1">
        <v>49152</v>
      </c>
      <c r="E49" s="1">
        <f>D49/8</f>
        <v>6144</v>
      </c>
      <c r="F49" s="8">
        <f>E49/2</f>
        <v>3072</v>
      </c>
    </row>
  </sheetData>
  <mergeCells count="2">
    <mergeCell ref="A2:A22"/>
    <mergeCell ref="A24:A44"/>
  </mergeCells>
  <phoneticPr fontId="1" type="noConversion"/>
  <pageMargins left="0.7" right="0.7" top="0.75" bottom="0.75" header="0.3" footer="0.3"/>
  <pageSetup paperSize="9" scale="63" orientation="portrait" r:id="rId1"/>
  <rowBreaks count="1" manualBreakCount="1">
    <brk id="23"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G13"/>
  <sheetViews>
    <sheetView zoomScaleNormal="100" workbookViewId="0">
      <pane ySplit="1" topLeftCell="A2" activePane="bottomLeft" state="frozen"/>
      <selection pane="bottomLeft" activeCell="B5" sqref="B5"/>
    </sheetView>
  </sheetViews>
  <sheetFormatPr defaultColWidth="9" defaultRowHeight="15" x14ac:dyDescent="0.25"/>
  <cols>
    <col min="1" max="1" width="16.375" style="19" customWidth="1"/>
    <col min="2" max="2" width="29.875" style="19" customWidth="1"/>
    <col min="3" max="4" width="10" style="19" customWidth="1"/>
    <col min="5" max="5" width="13.125" style="19" customWidth="1"/>
    <col min="6" max="6" width="60.625" style="19" customWidth="1"/>
    <col min="7" max="7" width="23.125" style="19" customWidth="1"/>
    <col min="8" max="16384" width="9" style="19"/>
  </cols>
  <sheetData>
    <row r="1" spans="1:7" ht="36" x14ac:dyDescent="0.25">
      <c r="A1" s="18" t="s">
        <v>40</v>
      </c>
      <c r="B1" s="18" t="s">
        <v>41</v>
      </c>
      <c r="C1" s="18" t="s">
        <v>42</v>
      </c>
      <c r="D1" s="18" t="s">
        <v>43</v>
      </c>
      <c r="E1" s="18" t="s">
        <v>44</v>
      </c>
      <c r="F1" s="18" t="s">
        <v>45</v>
      </c>
      <c r="G1" s="18" t="s">
        <v>444</v>
      </c>
    </row>
    <row r="2" spans="1:7" ht="30.75" x14ac:dyDescent="0.25">
      <c r="A2" s="41" t="s">
        <v>39</v>
      </c>
      <c r="B2" s="2" t="s">
        <v>423</v>
      </c>
      <c r="C2" s="2">
        <v>1</v>
      </c>
      <c r="D2" s="2">
        <f t="shared" ref="D2" si="0">QUOTIENT(C2+7,8)</f>
        <v>1</v>
      </c>
      <c r="E2" s="2">
        <f t="shared" ref="E2" si="1">QUOTIENT(D2+1,2)</f>
        <v>1</v>
      </c>
      <c r="F2" s="2" t="s">
        <v>869</v>
      </c>
      <c r="G2" s="25" t="s">
        <v>424</v>
      </c>
    </row>
    <row r="3" spans="1:7" ht="30.75" x14ac:dyDescent="0.25">
      <c r="A3" s="20" t="str">
        <f t="shared" ref="A3:A11" si="2">DEC2HEX(HEX2DEC(A2)+E2)</f>
        <v>1C01</v>
      </c>
      <c r="B3" s="2" t="s">
        <v>425</v>
      </c>
      <c r="C3" s="2">
        <v>1</v>
      </c>
      <c r="D3" s="2">
        <f t="shared" ref="D3:D7" si="3">QUOTIENT(C3+7,8)</f>
        <v>1</v>
      </c>
      <c r="E3" s="2">
        <f t="shared" ref="E3:E7" si="4">QUOTIENT(D3+1,2)</f>
        <v>1</v>
      </c>
      <c r="F3" s="2" t="s">
        <v>870</v>
      </c>
      <c r="G3" s="2" t="s">
        <v>426</v>
      </c>
    </row>
    <row r="4" spans="1:7" ht="30.75" x14ac:dyDescent="0.25">
      <c r="A4" s="20" t="str">
        <f t="shared" si="2"/>
        <v>1C02</v>
      </c>
      <c r="B4" s="2" t="s">
        <v>427</v>
      </c>
      <c r="C4" s="2">
        <v>256</v>
      </c>
      <c r="D4" s="25">
        <f t="shared" si="3"/>
        <v>32</v>
      </c>
      <c r="E4" s="25">
        <f t="shared" si="4"/>
        <v>16</v>
      </c>
      <c r="F4" s="2" t="s">
        <v>871</v>
      </c>
      <c r="G4" s="2" t="s">
        <v>428</v>
      </c>
    </row>
    <row r="5" spans="1:7" ht="30.75" x14ac:dyDescent="0.25">
      <c r="A5" s="20" t="str">
        <f t="shared" si="2"/>
        <v>1C12</v>
      </c>
      <c r="B5" s="245" t="s">
        <v>429</v>
      </c>
      <c r="C5" s="25">
        <v>384</v>
      </c>
      <c r="D5" s="25">
        <f t="shared" ref="D5" si="5">QUOTIENT(C5+7,8)</f>
        <v>48</v>
      </c>
      <c r="E5" s="25">
        <f t="shared" ref="E5" si="6">QUOTIENT(D5+1,2)</f>
        <v>24</v>
      </c>
      <c r="F5" s="2" t="s">
        <v>872</v>
      </c>
      <c r="G5" s="2" t="s">
        <v>430</v>
      </c>
    </row>
    <row r="6" spans="1:7" ht="150.75" x14ac:dyDescent="0.25">
      <c r="A6" s="20" t="str">
        <f t="shared" si="2"/>
        <v>1C2A</v>
      </c>
      <c r="B6" s="245" t="s">
        <v>431</v>
      </c>
      <c r="C6" s="25">
        <v>768</v>
      </c>
      <c r="D6" s="25">
        <f t="shared" si="3"/>
        <v>96</v>
      </c>
      <c r="E6" s="25">
        <f t="shared" si="4"/>
        <v>48</v>
      </c>
      <c r="F6" s="2" t="s">
        <v>873</v>
      </c>
      <c r="G6" s="2" t="s">
        <v>428</v>
      </c>
    </row>
    <row r="7" spans="1:7" ht="30.75" x14ac:dyDescent="0.25">
      <c r="A7" s="20" t="str">
        <f t="shared" si="2"/>
        <v>1C5A</v>
      </c>
      <c r="B7" s="245" t="s">
        <v>432</v>
      </c>
      <c r="C7" s="25">
        <v>128</v>
      </c>
      <c r="D7" s="25">
        <f t="shared" si="3"/>
        <v>16</v>
      </c>
      <c r="E7" s="25">
        <f t="shared" si="4"/>
        <v>8</v>
      </c>
      <c r="F7" s="2" t="s">
        <v>874</v>
      </c>
      <c r="G7" s="2" t="s">
        <v>428</v>
      </c>
    </row>
    <row r="8" spans="1:7" ht="75" x14ac:dyDescent="0.25">
      <c r="A8" s="20" t="str">
        <f t="shared" si="2"/>
        <v>1C62</v>
      </c>
      <c r="B8" s="245" t="s">
        <v>433</v>
      </c>
      <c r="C8" s="25">
        <v>8192</v>
      </c>
      <c r="D8" s="25">
        <f t="shared" ref="D8:D9" si="7">QUOTIENT(C8+7,8)</f>
        <v>1024</v>
      </c>
      <c r="E8" s="25">
        <f t="shared" ref="E8:E9" si="8">QUOTIENT(D8+1,2)</f>
        <v>512</v>
      </c>
      <c r="F8" s="2" t="s">
        <v>434</v>
      </c>
      <c r="G8" s="2" t="s">
        <v>428</v>
      </c>
    </row>
    <row r="9" spans="1:7" ht="15.75" x14ac:dyDescent="0.25">
      <c r="A9" s="20" t="str">
        <f t="shared" si="2"/>
        <v>1E62</v>
      </c>
      <c r="B9" s="245" t="s">
        <v>435</v>
      </c>
      <c r="C9" s="25">
        <v>768</v>
      </c>
      <c r="D9" s="25">
        <f t="shared" si="7"/>
        <v>96</v>
      </c>
      <c r="E9" s="25">
        <f t="shared" si="8"/>
        <v>48</v>
      </c>
      <c r="F9" s="2" t="s">
        <v>436</v>
      </c>
      <c r="G9" s="2" t="s">
        <v>428</v>
      </c>
    </row>
    <row r="10" spans="1:7" ht="18.75" customHeight="1" thickBot="1" x14ac:dyDescent="0.3">
      <c r="A10" s="20" t="str">
        <f>DEC2HEX(HEX2DEC(A9)+E9)</f>
        <v>1E92</v>
      </c>
      <c r="B10" s="24" t="s">
        <v>14</v>
      </c>
      <c r="C10" s="24">
        <v>3808</v>
      </c>
      <c r="D10" s="24">
        <f t="shared" ref="D10" si="9">QUOTIENT(C10+7,8)</f>
        <v>476</v>
      </c>
      <c r="E10" s="24">
        <f t="shared" ref="E10" si="10">QUOTIENT(D10+1,2)</f>
        <v>238</v>
      </c>
      <c r="F10" s="24" t="s">
        <v>37</v>
      </c>
      <c r="G10" s="24"/>
    </row>
    <row r="11" spans="1:7" ht="19.5" customHeight="1" thickBot="1" x14ac:dyDescent="0.3">
      <c r="A11" s="43" t="str">
        <f t="shared" si="2"/>
        <v>1F80</v>
      </c>
      <c r="B11" s="42" t="s">
        <v>59</v>
      </c>
      <c r="C11" s="43">
        <f>SUM(C2:C10)</f>
        <v>14306</v>
      </c>
      <c r="D11" s="43">
        <f>SUM(D2:D10)</f>
        <v>1790</v>
      </c>
      <c r="E11" s="43">
        <f>SUM(E2:E10)</f>
        <v>896</v>
      </c>
      <c r="F11" s="43"/>
      <c r="G11" s="44"/>
    </row>
    <row r="12" spans="1:7" ht="17.25" customHeight="1" x14ac:dyDescent="0.25">
      <c r="A12" s="5" t="str">
        <f>DEC2HEX(E12)</f>
        <v>380</v>
      </c>
      <c r="B12" s="5" t="s">
        <v>60</v>
      </c>
      <c r="C12" s="5">
        <f>E11*16</f>
        <v>14336</v>
      </c>
      <c r="D12" s="5">
        <f t="shared" ref="D12" si="11">QUOTIENT(C12+7,8)</f>
        <v>1792</v>
      </c>
      <c r="E12" s="5">
        <f t="shared" ref="E12" si="12">QUOTIENT(D12+1,2)</f>
        <v>896</v>
      </c>
    </row>
    <row r="13" spans="1:7" x14ac:dyDescent="0.25">
      <c r="A13" s="2" t="s">
        <v>437</v>
      </c>
      <c r="B13" s="2" t="s">
        <v>12</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G9"/>
  <sheetViews>
    <sheetView zoomScaleNormal="100" workbookViewId="0">
      <selection activeCell="F11" sqref="F11"/>
    </sheetView>
  </sheetViews>
  <sheetFormatPr defaultColWidth="9" defaultRowHeight="15" x14ac:dyDescent="0.25"/>
  <cols>
    <col min="1" max="1" width="20" style="19" customWidth="1"/>
    <col min="2" max="2" width="16.375" style="19" customWidth="1"/>
    <col min="3" max="4" width="10" style="19" customWidth="1"/>
    <col min="5" max="5" width="13.125" style="19" customWidth="1"/>
    <col min="6" max="6" width="57.875" style="19" customWidth="1"/>
    <col min="7" max="7" width="23.125" style="19" customWidth="1"/>
    <col min="8" max="16384" width="9" style="19"/>
  </cols>
  <sheetData>
    <row r="1" spans="1:7" ht="36" x14ac:dyDescent="0.25">
      <c r="A1" s="18" t="s">
        <v>40</v>
      </c>
      <c r="B1" s="18" t="s">
        <v>41</v>
      </c>
      <c r="C1" s="18" t="s">
        <v>42</v>
      </c>
      <c r="D1" s="18" t="s">
        <v>43</v>
      </c>
      <c r="E1" s="18" t="s">
        <v>44</v>
      </c>
      <c r="F1" s="18" t="s">
        <v>45</v>
      </c>
      <c r="G1" s="18" t="s">
        <v>46</v>
      </c>
    </row>
    <row r="2" spans="1:7" ht="18.75" customHeight="1" x14ac:dyDescent="0.25">
      <c r="A2" s="26" t="s">
        <v>437</v>
      </c>
      <c r="B2" s="245" t="s">
        <v>438</v>
      </c>
      <c r="C2" s="25">
        <v>512</v>
      </c>
      <c r="D2" s="25">
        <f>QUOTIENT(C2+7,8)</f>
        <v>64</v>
      </c>
      <c r="E2" s="25">
        <f>QUOTIENT(D2+1,2)</f>
        <v>32</v>
      </c>
      <c r="F2" s="2" t="s">
        <v>880</v>
      </c>
      <c r="G2" s="25"/>
    </row>
    <row r="3" spans="1:7" ht="30" x14ac:dyDescent="0.25">
      <c r="A3" s="39" t="str">
        <f t="shared" ref="A3:A8" si="0">DEC2HEX(HEX2DEC(A2)+E2)</f>
        <v>1FA0</v>
      </c>
      <c r="B3" s="245" t="s">
        <v>439</v>
      </c>
      <c r="C3" s="25">
        <v>256</v>
      </c>
      <c r="D3" s="25">
        <f>QUOTIENT(C3+7,8)</f>
        <v>32</v>
      </c>
      <c r="E3" s="25">
        <f t="shared" ref="E3:E7" si="1">QUOTIENT(D3+1,2)</f>
        <v>16</v>
      </c>
      <c r="F3" s="60" t="s">
        <v>877</v>
      </c>
      <c r="G3" s="25" t="s">
        <v>428</v>
      </c>
    </row>
    <row r="4" spans="1:7" ht="30" x14ac:dyDescent="0.25">
      <c r="A4" s="39" t="str">
        <f t="shared" si="0"/>
        <v>1FB0</v>
      </c>
      <c r="B4" s="245" t="s">
        <v>439</v>
      </c>
      <c r="C4" s="25">
        <v>384</v>
      </c>
      <c r="D4" s="25">
        <f t="shared" ref="D4:D7" si="2">QUOTIENT(C4+7,8)</f>
        <v>48</v>
      </c>
      <c r="E4" s="25">
        <f t="shared" si="1"/>
        <v>24</v>
      </c>
      <c r="F4" s="60" t="s">
        <v>878</v>
      </c>
      <c r="G4" s="25" t="s">
        <v>428</v>
      </c>
    </row>
    <row r="5" spans="1:7" ht="30" x14ac:dyDescent="0.25">
      <c r="A5" s="39" t="str">
        <f t="shared" si="0"/>
        <v>1FC8</v>
      </c>
      <c r="B5" s="245" t="s">
        <v>439</v>
      </c>
      <c r="C5" s="25">
        <v>256</v>
      </c>
      <c r="D5" s="25">
        <f t="shared" si="2"/>
        <v>32</v>
      </c>
      <c r="E5" s="25">
        <f t="shared" si="1"/>
        <v>16</v>
      </c>
      <c r="F5" s="60" t="s">
        <v>879</v>
      </c>
      <c r="G5" s="25" t="s">
        <v>428</v>
      </c>
    </row>
    <row r="6" spans="1:7" ht="30" x14ac:dyDescent="0.25">
      <c r="A6" s="39" t="str">
        <f t="shared" si="0"/>
        <v>1FD8</v>
      </c>
      <c r="B6" s="245" t="s">
        <v>439</v>
      </c>
      <c r="C6" s="25">
        <v>256</v>
      </c>
      <c r="D6" s="25">
        <f t="shared" si="2"/>
        <v>32</v>
      </c>
      <c r="E6" s="25">
        <f t="shared" si="1"/>
        <v>16</v>
      </c>
      <c r="F6" s="60" t="s">
        <v>882</v>
      </c>
      <c r="G6" s="25" t="s">
        <v>883</v>
      </c>
    </row>
    <row r="7" spans="1:7" ht="30" x14ac:dyDescent="0.25">
      <c r="A7" s="39" t="str">
        <f t="shared" si="0"/>
        <v>1FE8</v>
      </c>
      <c r="B7" s="245" t="s">
        <v>439</v>
      </c>
      <c r="C7" s="25">
        <v>384</v>
      </c>
      <c r="D7" s="25">
        <f t="shared" si="2"/>
        <v>48</v>
      </c>
      <c r="E7" s="25">
        <f t="shared" si="1"/>
        <v>24</v>
      </c>
      <c r="F7" s="60" t="s">
        <v>881</v>
      </c>
      <c r="G7" s="25"/>
    </row>
    <row r="8" spans="1:7" ht="19.5" customHeight="1" x14ac:dyDescent="0.25">
      <c r="A8" s="22" t="str">
        <f t="shared" si="0"/>
        <v>2000</v>
      </c>
      <c r="B8" s="22" t="s">
        <v>884</v>
      </c>
      <c r="C8" s="21">
        <f>SUM(C2:C7)</f>
        <v>2048</v>
      </c>
      <c r="D8" s="21">
        <f>SUM(D2:D7)</f>
        <v>256</v>
      </c>
      <c r="E8" s="21">
        <f>SUM(E2:E7)</f>
        <v>128</v>
      </c>
      <c r="F8" s="21"/>
      <c r="G8" s="21"/>
    </row>
    <row r="9" spans="1:7" ht="17.25" customHeight="1" x14ac:dyDescent="0.25">
      <c r="A9" s="2">
        <v>80</v>
      </c>
      <c r="B9" s="2" t="s">
        <v>885</v>
      </c>
      <c r="C9" s="2">
        <f>E8*16</f>
        <v>2048</v>
      </c>
      <c r="D9" s="2">
        <f t="shared" ref="D9" si="3">QUOTIENT(C9+7,8)</f>
        <v>256</v>
      </c>
      <c r="E9" s="2">
        <f t="shared" ref="E9" si="4">QUOTIENT(D9+1,2)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6723DD47497F340BF00DFEB38A1CDB6" ma:contentTypeVersion="10" ma:contentTypeDescription="Create a new document." ma:contentTypeScope="" ma:versionID="22f1f97cf4033059d3cb210fe262fd3b">
  <xsd:schema xmlns:xsd="http://www.w3.org/2001/XMLSchema" xmlns:xs="http://www.w3.org/2001/XMLSchema" xmlns:p="http://schemas.microsoft.com/office/2006/metadata/properties" xmlns:ns2="c3529e64-3cea-4bbc-8738-0ef926e036b8" xmlns:ns3="d348c582-9fa4-455b-9842-e3e6804c5275" targetNamespace="http://schemas.microsoft.com/office/2006/metadata/properties" ma:root="true" ma:fieldsID="c7b6d8164bc3ce009b9874e40d0c7c55" ns2:_="" ns3:_="">
    <xsd:import namespace="c3529e64-3cea-4bbc-8738-0ef926e036b8"/>
    <xsd:import namespace="d348c582-9fa4-455b-9842-e3e6804c527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LengthInSeconds" minOccurs="0"/>
                <xsd:element ref="ns2:MediaServiceObjectDetectorVersions" minOccurs="0"/>
                <xsd:element ref="ns2:MediaServiceDateTaken"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529e64-3cea-4bbc-8738-0ef926e036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LengthInSeconds" ma:index="12" nillable="true" ma:displayName="MediaLengthInSeconds" ma:hidden="true" ma:internalName="MediaLengthInSeconds" ma:readOnly="true">
      <xsd:simpleType>
        <xsd:restriction base="dms:Unknown"/>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348c582-9fa4-455b-9842-e3e6804c527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d348c582-9fa4-455b-9842-e3e6804c5275">
      <UserInfo>
        <DisplayName/>
        <AccountId xsi:nil="true"/>
        <AccountType/>
      </UserInfo>
    </SharedWithUsers>
    <MediaLengthInSeconds xmlns="c3529e64-3cea-4bbc-8738-0ef926e036b8" xsi:nil="true"/>
  </documentManagement>
</p:properties>
</file>

<file path=customXml/itemProps1.xml><?xml version="1.0" encoding="utf-8"?>
<ds:datastoreItem xmlns:ds="http://schemas.openxmlformats.org/officeDocument/2006/customXml" ds:itemID="{0F55FDC6-31B8-4254-B3BE-FDB6E5E0FB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529e64-3cea-4bbc-8738-0ef926e036b8"/>
    <ds:schemaRef ds:uri="d348c582-9fa4-455b-9842-e3e6804c52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3.xml><?xml version="1.0" encoding="utf-8"?>
<ds:datastoreItem xmlns:ds="http://schemas.openxmlformats.org/officeDocument/2006/customXml" ds:itemID="{58344122-BFEB-4801-99ED-3DACB961442B}">
  <ds:schemaRefs>
    <ds:schemaRef ds:uri="http://schemas.microsoft.com/office/infopath/2007/PartnerControls"/>
    <ds:schemaRef ds:uri="http://purl.org/dc/terms/"/>
    <ds:schemaRef ds:uri="http://schemas.microsoft.com/office/2006/documentManagement/types"/>
    <ds:schemaRef ds:uri="d348c582-9fa4-455b-9842-e3e6804c5275"/>
    <ds:schemaRef ds:uri="http://purl.org/dc/elements/1.1/"/>
    <ds:schemaRef ds:uri="http://schemas.microsoft.com/office/2006/metadata/properties"/>
    <ds:schemaRef ds:uri="http://schemas.openxmlformats.org/package/2006/metadata/core-properties"/>
    <ds:schemaRef ds:uri="c3529e64-3cea-4bbc-8738-0ef926e036b8"/>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8</vt:i4>
      </vt:variant>
    </vt:vector>
  </HeadingPairs>
  <TitlesOfParts>
    <vt:vector size="18" baseType="lpstr">
      <vt:lpstr>Summary</vt:lpstr>
      <vt:lpstr>OTPROM</vt:lpstr>
      <vt:lpstr>OTPRBP</vt:lpstr>
      <vt:lpstr>OTPCFG</vt:lpstr>
      <vt:lpstr>OTPSTRAP</vt:lpstr>
      <vt:lpstr>OTPSTRAP_EXT</vt:lpstr>
      <vt:lpstr>OTPUSR</vt:lpstr>
      <vt:lpstr>OTPSEC</vt:lpstr>
      <vt:lpstr>OTPCAL</vt:lpstr>
      <vt:lpstr>OTPPUF</vt:lpstr>
      <vt:lpstr>OTPCAL!Print_Area</vt:lpstr>
      <vt:lpstr>OTPCFG!Print_Area</vt:lpstr>
      <vt:lpstr>OTPPUF!Print_Area</vt:lpstr>
      <vt:lpstr>OTPRBP!Print_Area</vt:lpstr>
      <vt:lpstr>OTPROM!Print_Area</vt:lpstr>
      <vt:lpstr>OTPSEC!Print_Area</vt:lpstr>
      <vt:lpstr>OTPSTRAP!Print_Area</vt:lpstr>
      <vt:lpstr>OTPSTRAP_EXT!Print_Area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cp:lastPrinted>2024-10-16T07:56:40Z</cp:lastPrinted>
  <dcterms:created xsi:type="dcterms:W3CDTF">2023-01-30T05:35:21Z</dcterms:created>
  <dcterms:modified xsi:type="dcterms:W3CDTF">2025-07-18T03:13:01Z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0x01010076723DD47497F340BF00DFEB38A1CDB6</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