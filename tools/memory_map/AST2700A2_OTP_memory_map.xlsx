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sdk\ast2700\OTP\memory\release\"/>
    </mc:Choice>
  </mc:AlternateContent>
  <xr:revisionPtr revIDLastSave="0" documentId="13_ncr:1_{27881C35-FA1F-4CDE-A85C-DC5AAFD23A39}" xr6:coauthVersionLast="47" xr6:coauthVersionMax="47" xr10:uidLastSave="{00000000-0000-0000-0000-000000000000}"/>
  <bookViews>
    <workbookView xWindow="30420" yWindow="555" windowWidth="26025" windowHeight="14775" activeTab="5"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OTPRBP!$A$1:$H$13</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22" l="1"/>
  <c r="A11" i="22"/>
  <c r="E11" i="22"/>
  <c r="F11" i="22" s="1"/>
  <c r="E46" i="31"/>
  <c r="F46" i="31"/>
  <c r="E47" i="31"/>
  <c r="F47" i="31" s="1"/>
  <c r="E48" i="31"/>
  <c r="F48" i="31" s="1"/>
  <c r="E49" i="31"/>
  <c r="F49" i="31" s="1"/>
  <c r="E50" i="31"/>
  <c r="F50" i="31"/>
  <c r="E51" i="31"/>
  <c r="F51" i="31" s="1"/>
  <c r="E52" i="31"/>
  <c r="F52" i="31" s="1"/>
  <c r="E53" i="31"/>
  <c r="F53" i="3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E45" i="32"/>
  <c r="F45" i="32" s="1"/>
  <c r="D144" i="31"/>
  <c r="E144" i="31" s="1"/>
  <c r="F144"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0" i="31"/>
  <c r="F70"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1" i="31"/>
  <c r="F71" i="31" s="1"/>
  <c r="E72" i="31"/>
  <c r="F72" i="31" s="1"/>
  <c r="E73" i="31"/>
  <c r="F73" i="31" s="1"/>
  <c r="E74" i="31"/>
  <c r="F74"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A144" i="31" s="1"/>
  <c r="E19" i="31"/>
  <c r="A40" i="34" l="1"/>
  <c r="A41" i="34"/>
  <c r="A42" i="34" s="1"/>
  <c r="A43" i="34" s="1"/>
  <c r="F19" i="31"/>
  <c r="E18" i="31"/>
  <c r="F18" i="31" s="1"/>
  <c r="E12" i="31"/>
  <c r="F12" i="3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D3" i="27" l="1"/>
  <c r="E2" i="27"/>
  <c r="E3" i="27" s="1"/>
  <c r="F2" i="27" l="1"/>
  <c r="F3" i="27" l="1"/>
  <c r="D4" i="27" s="1"/>
  <c r="E4" i="27" s="1"/>
  <c r="F4" i="27" s="1"/>
  <c r="A4" i="27" s="1"/>
  <c r="A3" i="27"/>
  <c r="D3" i="26" l="1"/>
  <c r="E2" i="26"/>
  <c r="E3" i="26" s="1"/>
  <c r="E9" i="22"/>
  <c r="F9" i="22" s="1"/>
  <c r="E10" i="22"/>
  <c r="F10"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3" i="22"/>
  <c r="E12" i="22"/>
  <c r="F12" i="22" s="1"/>
  <c r="E3" i="22"/>
  <c r="F3" i="22" s="1"/>
  <c r="E2" i="22"/>
  <c r="F2" i="22" s="1"/>
  <c r="F6" i="6"/>
  <c r="D6" i="6" s="1"/>
  <c r="F7" i="6"/>
  <c r="F2" i="26" l="1"/>
  <c r="A3" i="22"/>
  <c r="A4" i="22" s="1"/>
  <c r="A5" i="22" s="1"/>
  <c r="A6" i="22" s="1"/>
  <c r="A7" i="22" s="1"/>
  <c r="A8" i="22" s="1"/>
  <c r="A9" i="22" s="1"/>
  <c r="A10" i="22" s="1"/>
  <c r="F13" i="22"/>
  <c r="D14" i="22" s="1"/>
  <c r="E13" i="22"/>
  <c r="D11" i="15"/>
  <c r="E10" i="15"/>
  <c r="E14" i="6"/>
  <c r="D7" i="6"/>
  <c r="F8" i="6"/>
  <c r="D8" i="6" s="1"/>
  <c r="F9" i="6"/>
  <c r="D9" i="6" s="1"/>
  <c r="F10" i="6"/>
  <c r="D10" i="6" s="1"/>
  <c r="F11" i="6"/>
  <c r="D11" i="6" s="1"/>
  <c r="F12" i="6"/>
  <c r="D12" i="6" s="1"/>
  <c r="F13" i="6"/>
  <c r="D13" i="6" s="1"/>
  <c r="F5" i="6"/>
  <c r="D5" i="6" s="1"/>
  <c r="B6" i="6" s="1"/>
  <c r="E14" i="22" l="1"/>
  <c r="F14" i="22" s="1"/>
  <c r="A14" i="22" s="1"/>
  <c r="B7" i="6"/>
  <c r="C6" i="6" s="1"/>
  <c r="C5" i="6"/>
  <c r="F3" i="26"/>
  <c r="D4" i="26" s="1"/>
  <c r="E4" i="26" s="1"/>
  <c r="F4" i="26" s="1"/>
  <c r="A4" i="26" s="1"/>
  <c r="A3" i="26"/>
  <c r="A13" i="22"/>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<sst xmlns="http://schemas.openxmlformats.org/spreadsheetml/2006/main" count="1432" uniqueCount="719">
  <si>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</si>
  <si>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</si>
  <si>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</si>
  <si>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</si>
  <si>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</si>
  <si>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</si>
  <si>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</si>
  <si>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</si>
  <si>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</si>
  <si>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</si>
  <si>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</si>
  <si>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</si>
  <si>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</si>
  <si>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</si>
  <si>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</si>
  <si>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</si>
  <si>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</si>
  <si>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</si>
  <si>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</si>
  <si>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</si>
  <si>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</si>
  <si>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</si>
  <si>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</si>
  <si>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</si>
  <si>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</si>
  <si>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</si>
  <si>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</si>
  <si>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</si>
  <si>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</si>
  <si>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</si>
  <si>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</si>
  <si>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</si>
  <si>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</si>
  <si>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</si>
  <si>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</si>
  <si>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</si>
  <si>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</si>
  <si>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</si>
  <si>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</si>
  <si>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</si>
  <si>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</si>
  <si>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</si>
  <si>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</si>
  <si>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</si>
  <si>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</si>
  <si>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</si>
  <si>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</si>
  <si>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</si>
  <si>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</si>
  <si>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</si>
  <si>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</si>
  <si>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</si>
  <si>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</si>
  <si>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</si>
  <si>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</si>
  <si>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</si>
  <si>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</si>
  <si>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</si>
  <si>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</si>
  <si>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</si>
  <si>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</si>
  <si>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</si>
  <si>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</si>
  <si>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</si>
  <si>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</si>
  <si>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</si>
  <si>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</si>
  <si>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</si>
  <si>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</si>
  <si>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</si>
  <si>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</si>
  <si>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</si>
  <si>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</si>
  <si>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</si>
  <si>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</si>
  <si>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</si>
  <si>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</si>
  <si>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</si>
  <si>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</si>
  <si>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</si>
  <si>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</si>
  <si>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</si>
  <si>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</si>
  <si>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</si>
  <si>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</si>
  <si>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OTP Patch Size 1</t>
  </si>
  <si>
    <t>OTP Patch Code location 2</t>
  </si>
  <si>
    <t>otp_patch_vld 2</t>
  </si>
  <si>
    <t>Enable otp patch 2
0: otp rom patch 2 is invalid
1: otp rom patch 2 is valid</t>
  </si>
  <si>
    <t>OTP Patch Size 2</t>
  </si>
  <si>
    <t>rd_protect_otp_usr0</t>
  </si>
  <si>
    <t>Enable Read protect for OTP region user 0</t>
    <phoneticPr fontId="1" type="noConversion"/>
  </si>
  <si>
    <t>wr_protect_otp_usr0</t>
  </si>
  <si>
    <t>Enable Write protect for OTP region user 0</t>
    <phoneticPr fontId="1" type="noConversion"/>
  </si>
  <si>
    <t>usr0_region_start_offset</t>
  </si>
  <si>
    <t>User 0 region start offset (unit: word)</t>
    <phoneticPr fontId="1" type="noConversion"/>
  </si>
  <si>
    <t>usr0_region_size</t>
  </si>
  <si>
    <t>User 0 region size (unit: word)</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</si>
  <si>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</si>
  <si>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</si>
  <si>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</si>
  <si>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</si>
  <si>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</si>
  <si>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</si>
  <si>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</si>
  <si>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</si>
  <si>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</si>
  <si>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</si>
  <si>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</si>
  <si>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</si>
  <si>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</si>
  <si>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</si>
  <si>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</si>
  <si>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</si>
  <si>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</si>
  <si>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</si>
  <si>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</si>
  <si>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</si>
  <si>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</si>
  <si>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</si>
  <si>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</si>
  <si>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</si>
  <si>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</si>
  <si>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</si>
  <si>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</si>
  <si>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</si>
  <si>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</si>
  <si>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</si>
  <si>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</si>
  <si>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</si>
  <si>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</si>
  <si>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</si>
  <si>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</si>
  <si>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</si>
  <si>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</si>
  <si>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</si>
  <si>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</si>
  <si>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</si>
  <si>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</si>
  <si>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</si>
  <si>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</si>
  <si>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</si>
  <si>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</si>
  <si>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</si>
  <si>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</si>
  <si>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</si>
  <si>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</si>
  <si>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</si>
  <si>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</si>
  <si>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</si>
  <si>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</si>
  <si>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</si>
  <si>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</si>
  <si>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</si>
  <si>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</si>
  <si>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</si>
  <si>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</si>
  <si>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</si>
  <si>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</si>
  <si>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</si>
  <si>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</si>
  <si>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</si>
  <si>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</si>
  <si>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</si>
  <si>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</si>
  <si>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</si>
  <si>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</si>
  <si>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</si>
  <si>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</si>
  <si>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</si>
  <si>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</si>
  <si>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</si>
  <si>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</si>
  <si>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</si>
  <si>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</si>
  <si>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</si>
  <si>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</si>
  <si>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</si>
  <si>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</si>
  <si>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</si>
  <si>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</si>
  <si>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</si>
  <si>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</si>
  <si>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</si>
  <si>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</si>
  <si>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</si>
  <si>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</si>
  <si>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</si>
  <si>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</si>
  <si>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</si>
  <si>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</si>
  <si>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</si>
  <si>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</si>
  <si>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</si>
  <si>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</si>
  <si>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</si>
  <si>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</si>
  <si>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</si>
  <si>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</si>
  <si>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</si>
  <si>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</si>
  <si>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</si>
  <si>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</si>
  <si>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</si>
  <si>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</si>
  <si>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</si>
  <si>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</si>
  <si>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</si>
  <si>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</si>
  <si>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</si>
  <si>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</si>
  <si>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</si>
  <si>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</si>
  <si>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</si>
  <si>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</si>
  <si>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</si>
  <si>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</si>
  <si>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</si>
  <si>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</si>
  <si>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</si>
  <si>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</si>
  <si>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</si>
  <si>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</si>
  <si>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</si>
  <si>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</si>
  <si>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</si>
  <si>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</si>
  <si>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</si>
  <si>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</si>
  <si>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</si>
  <si>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</si>
  <si>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</si>
  <si>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</si>
  <si>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</si>
  <si>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</si>
  <si>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</si>
  <si>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</si>
  <si>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</si>
  <si>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</si>
  <si>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</si>
  <si>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</si>
  <si>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</si>
  <si>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</si>
  <si>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</si>
  <si>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</si>
  <si>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</si>
  <si>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</si>
  <si>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</si>
  <si>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</si>
  <si>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</si>
  <si>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</si>
  <si>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</si>
  <si>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</si>
  <si>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</si>
  <si>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</si>
  <si>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</si>
  <si>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</si>
  <si>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</si>
  <si>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</si>
  <si>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</si>
  <si>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</si>
  <si>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</si>
  <si>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</si>
  <si>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</si>
  <si>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</si>
  <si>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User Region</t>
    <phoneticPr fontId="1" type="noConversion"/>
  </si>
  <si>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</si>
  <si>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</si>
  <si>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</si>
  <si>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</si>
  <si>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</si>
  <si>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</si>
  <si>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</si>
  <si>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</si>
  <si>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</si>
  <si>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</si>
  <si>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</si>
  <si>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</si>
  <si>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</si>
  <si>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</si>
  <si>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</si>
  <si>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</si>
  <si>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</si>
  <si>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</si>
  <si>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</si>
  <si>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</si>
  <si>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</si>
  <si>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</si>
  <si>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</si>
  <si>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</si>
  <si>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</si>
  <si>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</si>
  <si>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</si>
  <si>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</si>
  <si>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</si>
  <si>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</si>
  <si>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</si>
  <si>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</si>
  <si>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</si>
  <si>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</si>
  <si>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</si>
  <si>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</si>
  <si>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</si>
  <si>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</si>
  <si>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</si>
  <si>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</si>
  <si>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</si>
  <si>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</si>
  <si>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</si>
  <si>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</si>
  <si>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</si>
  <si>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</si>
  <si>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</si>
  <si>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</si>
  <si>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</si>
  <si>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</si>
  <si>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</si>
  <si>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</si>
  <si>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</si>
  <si>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</si>
  <si>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</si>
  <si>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</si>
  <si>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</si>
  <si>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</si>
  <si>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</si>
  <si>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</si>
  <si>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</si>
  <si>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</si>
  <si>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v2p0</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</si>
  <si>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</si>
  <si>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</si>
  <si>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</si>
  <si>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</si>
  <si>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</si>
  <si>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</si>
  <si>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</si>
  <si>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</si>
  <si>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</si>
  <si>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</si>
  <si>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</si>
  <si>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</si>
  <si>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</si>
  <si>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</si>
  <si>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</si>
  <si>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</si>
  <si>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</si>
  <si>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</si>
  <si>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</si>
  <si>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</si>
  <si>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</si>
  <si>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</si>
  <si>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</si>
  <si>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</si>
  <si>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</si>
  <si>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</si>
  <si>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</si>
  <si>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</si>
  <si>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</si>
  <si>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</si>
  <si>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</si>
  <si>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</si>
  <si>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</si>
  <si>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</si>
  <si>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</si>
  <si>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</si>
  <si>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</si>
  <si>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</si>
  <si>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</si>
  <si>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</si>
  <si>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</si>
  <si>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</si>
  <si>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</si>
  <si>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</si>
  <si>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</si>
  <si>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</si>
  <si>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</si>
  <si>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</si>
  <si>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</si>
  <si>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</si>
  <si>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</si>
  <si>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</si>
  <si>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</si>
  <si>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</si>
  <si>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</si>
  <si>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</si>
  <si>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</si>
  <si>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</si>
  <si>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</si>
  <si>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</si>
  <si>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</si>
  <si>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</si>
  <si>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</si>
  <si>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</si>
  <si>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</si>
  <si>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</si>
  <si>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</si>
  <si>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</si>
  <si>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</si>
  <si>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</si>
  <si>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</si>
  <si>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</si>
  <si>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</si>
  <si>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</si>
  <si>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</si>
  <si>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</si>
  <si>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</si>
  <si>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</si>
  <si>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</si>
  <si>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</si>
  <si>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</si>
  <si>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</si>
  <si>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</si>
  <si>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</si>
  <si>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</si>
  <si>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</si>
  <si>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</si>
  <si>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</si>
  <si>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Static protect</t>
    <phoneticPr fontId="1" type="noConversion"/>
  </si>
  <si>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</si>
  <si>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</si>
  <si>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</si>
  <si>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</si>
  <si>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</si>
  <si>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</si>
  <si>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</si>
  <si>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</si>
  <si>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</si>
  <si>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</si>
  <si>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</si>
  <si>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</si>
  <si>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</si>
  <si>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</si>
  <si>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</si>
  <si>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</si>
  <si>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</si>
  <si>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</si>
  <si>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</si>
  <si>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</si>
  <si>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</si>
  <si>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</si>
  <si>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</si>
  <si>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</si>
  <si>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</si>
  <si>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</si>
  <si>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</si>
  <si>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</si>
  <si>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</si>
  <si>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</si>
  <si>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</si>
  <si>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</si>
  <si>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</si>
  <si>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</si>
  <si>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</si>
  <si>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</si>
  <si>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</si>
  <si>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</si>
  <si>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</si>
  <si>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</si>
  <si>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</si>
  <si>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</si>
  <si>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</si>
  <si>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</si>
  <si>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</si>
  <si>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</si>
  <si>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</si>
  <si>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</si>
  <si>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</si>
  <si>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</si>
  <si>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</si>
  <si>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</si>
  <si>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</si>
  <si>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</si>
  <si>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</si>
  <si>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</si>
  <si>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</si>
  <si>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</si>
  <si>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</si>
  <si>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</si>
  <si>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</si>
  <si>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</si>
  <si>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</si>
  <si>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</si>
  <si>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</si>
  <si>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</si>
  <si>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</si>
  <si>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</si>
  <si>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</si>
  <si>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</si>
  <si>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</si>
  <si>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</si>
  <si>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</si>
  <si>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</si>
  <si>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</si>
  <si>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</si>
  <si>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</si>
  <si>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</si>
  <si>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</si>
  <si>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</si>
  <si>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</si>
  <si>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</si>
  <si>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</si>
  <si>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</si>
  <si>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</si>
  <si>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</si>
  <si>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</si>
  <si>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</si>
  <si>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</si>
  <si>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</si>
  <si>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</si>
  <si>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</si>
  <si>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</si>
  <si>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</si>
  <si>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</si>
  <si>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</si>
  <si>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</si>
  <si>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</si>
  <si>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</si>
  <si>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</si>
  <si>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</si>
  <si>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</si>
  <si>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</si>
  <si>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</si>
  <si>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</si>
  <si>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</si>
  <si>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</si>
  <si>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</si>
  <si>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</si>
  <si>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</si>
  <si>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</si>
  <si>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</si>
  <si>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</si>
  <si>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</si>
  <si>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</si>
  <si>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</si>
  <si>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</si>
  <si>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</si>
  <si>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</si>
  <si>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</si>
  <si>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</si>
  <si>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</si>
  <si>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</si>
  <si>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</si>
  <si>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</si>
  <si>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</si>
  <si>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</si>
  <si>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</si>
  <si>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</si>
  <si>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</si>
  <si>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</si>
  <si>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</si>
  <si>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</si>
  <si>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</si>
  <si>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</si>
  <si>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</si>
  <si>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</si>
  <si>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48127: 0</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</si>
  <si>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</si>
  <si>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</si>
  <si>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</si>
  <si>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</si>
  <si>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</si>
  <si>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</si>
  <si>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</si>
  <si>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</si>
  <si>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</si>
  <si>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</si>
  <si>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</si>
  <si>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</si>
  <si>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</si>
  <si>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</si>
  <si>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</si>
  <si>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</si>
  <si>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</si>
  <si>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</si>
  <si>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</si>
  <si>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</si>
  <si>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</si>
  <si>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</si>
  <si>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</si>
  <si>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</si>
  <si>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</si>
  <si>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</si>
  <si>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</si>
  <si>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</si>
  <si>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</si>
  <si>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</si>
  <si>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</si>
  <si>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</si>
  <si>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</si>
  <si>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</si>
  <si>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</si>
  <si>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</si>
  <si>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</si>
  <si>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</si>
  <si>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</si>
  <si>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</si>
  <si>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</si>
  <si>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</si>
  <si>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</si>
  <si>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</si>
  <si>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</si>
  <si>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</si>
  <si>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</si>
  <si>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</si>
  <si>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</si>
  <si>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</si>
  <si>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</si>
  <si>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</si>
  <si>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Enable Secure Boot
0:disable
1:enable
Once it's enabled, the secure boot is always enforced and there is no way of disable it.</t>
  </si>
  <si>
    <t>The Device Life Cycle State (LCS). It's the source of Security State.
0: Un-provisioned
1: Manufacturing
2: Reserved
3: Production
The LCS is populated in Caliptra fuse. It's configured of Manufacturing during ASPEED manufacturing.</t>
  </si>
  <si>
    <t>Enable eMMC software reset
0: eMMC software reset disable, use HW pin strap of do hardware reset
1: eMMC software reset enable. Always do software reset</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</si>
  <si>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</si>
  <si>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</si>
  <si>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</si>
  <si>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</si>
  <si>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</si>
  <si>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</si>
  <si>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</si>
  <si>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</si>
  <si>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</si>
  <si>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</si>
  <si>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</si>
  <si>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</si>
  <si>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</si>
  <si>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</si>
  <si>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</si>
  <si>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</si>
  <si>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</si>
  <si>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</si>
  <si>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</si>
  <si>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</si>
  <si>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</si>
  <si>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</si>
  <si>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</si>
  <si>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</si>
  <si>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</si>
  <si>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</si>
  <si>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</si>
  <si>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</si>
  <si>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</si>
  <si>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</si>
  <si>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</si>
  <si>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</si>
  <si>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</si>
  <si>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</si>
  <si>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</si>
  <si>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</si>
  <si>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</si>
  <si>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</si>
  <si>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</si>
  <si>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</si>
  <si>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</si>
  <si>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</si>
  <si>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</si>
  <si>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</si>
  <si>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</si>
  <si>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</si>
  <si>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</si>
  <si>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</si>
  <si>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</si>
  <si>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</si>
  <si>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</si>
  <si>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</si>
  <si>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</si>
  <si>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</si>
  <si>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</si>
  <si>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</si>
  <si>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Reserved of cusofmers</t>
  </si>
  <si>
    <t>Caliptra OBF Key (HW auof load)</t>
  </si>
  <si>
    <t>Reserved of SCU1_7E0</t>
  </si>
  <si>
    <t>Reserved</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</si>
  <si>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</si>
  <si>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</si>
  <si>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</si>
  <si>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</si>
  <si>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</si>
  <si>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</si>
  <si>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</si>
  <si>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</si>
  <si>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</si>
  <si>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</si>
  <si>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</si>
  <si>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</si>
  <si>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</si>
  <si>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</si>
  <si>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</si>
  <si>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</si>
  <si>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</si>
  <si>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</si>
  <si>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</si>
  <si>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</si>
  <si>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</si>
  <si>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</si>
  <si>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</si>
  <si>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</si>
  <si>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</si>
  <si>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en_auto_load_usr0</t>
  </si>
  <si>
    <t>Enable auto load OTP user0 ctrl setting of OTP register.
Once it's enabled, r/w protection, offset, and size of OTP user0 value below would be loaded inof OTP control registers as a hardware default value.</t>
  </si>
  <si>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</si>
  <si>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</si>
  <si>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</si>
  <si>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</si>
  <si>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</si>
  <si>
    <t>Caliptra Owner public key hash retire</t>
    <phoneticPr fontId="1" type="noConversion"/>
  </si>
  <si>
    <t>Disable ROM Patch code
0: If the OTPCFG2[0] is set, the Boot ROM would
execute the OTP patch codes which has been programmed inof
OTPROM region.
1: The Boot ROM would ignore pre ROM patch.
The ROM patch is the early stage of the boot ROM boot process.</t>
    <phoneticPr fontId="1" type="noConversion"/>
  </si>
  <si>
    <t>Enable otp patch 1
0: otp rom patch 1 is invalid
1: otp rom patch 1 is valid</t>
    <phoneticPr fontId="1" type="noConversion"/>
  </si>
  <si>
    <t>to-be-signed (TBS) payload.
The TBS is the certificate template already patched with the IDevID public key, Subject Key Identifier, serial number, and any extensions that are unique of the device that the vendor may have included.
Maximum size is 916 bytes according of mailbox command</t>
    <phoneticPr fontId="1" type="noConversion"/>
  </si>
  <si>
    <t>SoC FMC Hardware SVN</t>
    <phoneticPr fontId="1" type="noConversion"/>
  </si>
  <si>
    <t>dis_fmc_arb</t>
    <phoneticPr fontId="1" type="noConversion"/>
  </si>
  <si>
    <t>dis_cptra_owner_key_retry</t>
    <phoneticPr fontId="1" type="noConversion"/>
  </si>
  <si>
    <t>Disable Caliptra owner keyhash retry mechanism</t>
    <phoneticPr fontId="1" type="noConversion"/>
  </si>
  <si>
    <t>Disable SoC FMC Anti-rollback feature</t>
    <phoneticPr fontId="1" type="noConversion"/>
  </si>
  <si>
    <t>Caliptra Owner public key hash retire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phoneticPr fontId="1" type="noConversion"/>
  </si>
  <si>
    <t>SoC Manifest hardware SVN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phoneticPr fontId="1" type="noConversion"/>
  </si>
  <si>
    <t>SoC FMC hardware SVN</t>
    <phoneticPr fontId="1" type="noConversion"/>
  </si>
  <si>
    <t>47: 0</t>
    <phoneticPr fontId="1" type="noConversion"/>
  </si>
  <si>
    <t>Disable OTP Memory Factory Test Mode
0: enable
1: disable
of prevent security issue of OTP memory. Disabled BIST mode is recommended.</t>
    <phoneticPr fontId="1" type="noConversion"/>
  </si>
  <si>
    <t>Selection of IO for Uart Debug
0: IO12 1: IO0</t>
    <phoneticPr fontId="1" type="noConversion"/>
  </si>
  <si>
    <t>boot storage ABR enable
0: disable 1: enable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</si>
</sst>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2"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70C0"/>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57">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0" fontId="16" fillId="0" borderId="1" xfId="0" applyFont="1" applyBorder="1" applyAlignment="1">
      <alignmen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20"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1" fillId="0" borderId="1" xfId="4" applyFont="1" applyBorder="1">
      <alignment vertical="center"/>
    </xf>
    <xf numFmtId="0" fontId="21"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1"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0" fontId="7" fillId="4" borderId="1" xfId="0" applyFont="1" applyFill="1" applyBorder="1" applyAlignment="1">
      <alignment horizontal="left" vertical="center"/>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20246</xdr:colOff>
      <xdr:row>3</xdr:row>
      <xdr:rowOff>8282</xdr:rowOff>
    </xdr:from>
    <xdr:to>
      <xdr:col>10</xdr:col>
      <xdr:colOff>176418</xdr:colOff>
      <xdr:row>21</xdr:row>
      <xdr:rowOff>217419</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20507" y="728869"/>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D17" sqref="D17"/>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56" t="s">
        <v>0</v>
      </c>
      <c r="B1" s="156"/>
      <c r="C1" s="156"/>
      <c r="D1" s="156"/>
      <c r="E1" s="156"/>
    </row>
    <row r="2" spans="1:6" x14ac:dyDescent="0.25">
      <c r="A2" s="125" t="s">
        <v>1</v>
      </c>
      <c r="B2" s="126" t="s">
        <v>328</v>
      </c>
      <c r="C2" s="48"/>
      <c r="D2" s="48"/>
      <c r="E2" s="48"/>
      <c r="F2" s="48"/>
    </row>
    <row r="3" spans="1:6" x14ac:dyDescent="0.25">
      <c r="A3" s="48"/>
      <c r="B3" s="48"/>
      <c r="C3" s="48"/>
      <c r="D3" s="48"/>
      <c r="E3" s="48"/>
      <c r="F3" s="48"/>
    </row>
    <row r="4" spans="1:6" x14ac:dyDescent="0.25">
      <c r="A4" s="127" t="s">
        <v>2</v>
      </c>
      <c r="B4" s="127" t="s">
        <v>3</v>
      </c>
      <c r="C4" s="127" t="s">
        <v>4</v>
      </c>
      <c r="D4" s="127" t="s">
        <v>5</v>
      </c>
      <c r="E4" s="127" t="s">
        <v>6</v>
      </c>
      <c r="F4" s="127" t="s">
        <v>7</v>
      </c>
    </row>
    <row r="5" spans="1:6" x14ac:dyDescent="0.25">
      <c r="A5" s="128" t="s">
        <v>8</v>
      </c>
      <c r="B5" s="108">
        <v>0</v>
      </c>
      <c r="C5" s="120" t="str">
        <f>DEC2HEX(HEX2DEC(B6)-1)</f>
        <v>3DF</v>
      </c>
      <c r="D5" s="140">
        <f>F5/2</f>
        <v>992</v>
      </c>
      <c r="E5" s="120">
        <v>15872</v>
      </c>
      <c r="F5" s="120">
        <f>E5/8</f>
        <v>1984</v>
      </c>
    </row>
    <row r="6" spans="1:6" x14ac:dyDescent="0.25">
      <c r="A6" s="128" t="s">
        <v>9</v>
      </c>
      <c r="B6" s="120" t="str">
        <f>DEC2HEX(HEX2DEC(B5)+D5)</f>
        <v>3E0</v>
      </c>
      <c r="C6" s="120" t="str">
        <f t="shared" ref="C6" si="0">DEC2HEX(HEX2DEC(B7)-1)</f>
        <v>3FF</v>
      </c>
      <c r="D6" s="140">
        <f t="shared" ref="D6" si="1">F6/2</f>
        <v>32</v>
      </c>
      <c r="E6" s="120">
        <v>512</v>
      </c>
      <c r="F6" s="120">
        <f t="shared" ref="F6:F13" si="2">E6/8</f>
        <v>64</v>
      </c>
    </row>
    <row r="7" spans="1:6" x14ac:dyDescent="0.25">
      <c r="A7" s="128" t="s">
        <v>10</v>
      </c>
      <c r="B7" s="120" t="str">
        <f>DEC2HEX(HEX2DEC(B6)+D6)</f>
        <v>400</v>
      </c>
      <c r="C7" s="120" t="str">
        <f t="shared" ref="C7:C13" si="3">DEC2HEX(HEX2DEC(B8)-1)</f>
        <v>41F</v>
      </c>
      <c r="D7" s="140">
        <f t="shared" ref="D7:D13" si="4">F7/2</f>
        <v>32</v>
      </c>
      <c r="E7" s="120">
        <v>512</v>
      </c>
      <c r="F7" s="120">
        <f t="shared" si="2"/>
        <v>64</v>
      </c>
    </row>
    <row r="8" spans="1:6" x14ac:dyDescent="0.25">
      <c r="A8" s="128" t="s">
        <v>11</v>
      </c>
      <c r="B8" s="120" t="str">
        <f t="shared" ref="B8:B14" si="5">DEC2HEX(HEX2DEC(B7)+D7)</f>
        <v>420</v>
      </c>
      <c r="C8" s="120" t="str">
        <f t="shared" si="3"/>
        <v>42F</v>
      </c>
      <c r="D8" s="140">
        <f t="shared" si="4"/>
        <v>16</v>
      </c>
      <c r="E8" s="120">
        <v>256</v>
      </c>
      <c r="F8" s="120">
        <f t="shared" si="2"/>
        <v>32</v>
      </c>
    </row>
    <row r="9" spans="1:6" x14ac:dyDescent="0.25">
      <c r="A9" s="128" t="s">
        <v>418</v>
      </c>
      <c r="B9" s="120" t="str">
        <f t="shared" si="5"/>
        <v>430</v>
      </c>
      <c r="C9" s="120" t="str">
        <f t="shared" si="3"/>
        <v>43F</v>
      </c>
      <c r="D9" s="140">
        <f t="shared" si="4"/>
        <v>16</v>
      </c>
      <c r="E9" s="120">
        <v>256</v>
      </c>
      <c r="F9" s="120">
        <f t="shared" si="2"/>
        <v>32</v>
      </c>
    </row>
    <row r="10" spans="1:6" x14ac:dyDescent="0.25">
      <c r="A10" s="128" t="s">
        <v>12</v>
      </c>
      <c r="B10" s="120" t="str">
        <f t="shared" si="5"/>
        <v>440</v>
      </c>
      <c r="C10" s="120" t="str">
        <f t="shared" si="3"/>
        <v>FFF</v>
      </c>
      <c r="D10" s="140">
        <f t="shared" si="4"/>
        <v>3008</v>
      </c>
      <c r="E10" s="120">
        <v>48128</v>
      </c>
      <c r="F10" s="120">
        <f t="shared" si="2"/>
        <v>6016</v>
      </c>
    </row>
    <row r="11" spans="1:6" x14ac:dyDescent="0.25">
      <c r="A11" s="128" t="s">
        <v>13</v>
      </c>
      <c r="B11" s="120" t="str">
        <f t="shared" si="5"/>
        <v>1000</v>
      </c>
      <c r="C11" s="120" t="str">
        <f t="shared" si="3"/>
        <v>1BFF</v>
      </c>
      <c r="D11" s="140">
        <f t="shared" si="4"/>
        <v>3072</v>
      </c>
      <c r="E11" s="120">
        <v>49152</v>
      </c>
      <c r="F11" s="120">
        <f t="shared" si="2"/>
        <v>6144</v>
      </c>
    </row>
    <row r="12" spans="1:6" x14ac:dyDescent="0.25">
      <c r="A12" s="128" t="s">
        <v>14</v>
      </c>
      <c r="B12" s="120" t="str">
        <f t="shared" si="5"/>
        <v>1C00</v>
      </c>
      <c r="C12" s="120" t="str">
        <f t="shared" si="3"/>
        <v>1F7F</v>
      </c>
      <c r="D12" s="140">
        <f t="shared" si="4"/>
        <v>896</v>
      </c>
      <c r="E12" s="120">
        <v>14336</v>
      </c>
      <c r="F12" s="120">
        <f t="shared" si="2"/>
        <v>1792</v>
      </c>
    </row>
    <row r="13" spans="1:6" ht="19.5" thickBot="1" x14ac:dyDescent="0.3">
      <c r="A13" s="129" t="s">
        <v>15</v>
      </c>
      <c r="B13" s="122" t="str">
        <f t="shared" si="5"/>
        <v>1F80</v>
      </c>
      <c r="C13" s="122" t="str">
        <f t="shared" si="3"/>
        <v>1FFF</v>
      </c>
      <c r="D13" s="141">
        <f t="shared" si="4"/>
        <v>128</v>
      </c>
      <c r="E13" s="122">
        <v>2048</v>
      </c>
      <c r="F13" s="122">
        <f t="shared" si="2"/>
        <v>256</v>
      </c>
    </row>
    <row r="14" spans="1:6" x14ac:dyDescent="0.25">
      <c r="A14" s="59" t="s">
        <v>16</v>
      </c>
      <c r="B14" s="142" t="str">
        <f t="shared" si="5"/>
        <v>2000</v>
      </c>
      <c r="C14" s="142"/>
      <c r="D14" s="143">
        <f>SUM(D5:D13)</f>
        <v>8192</v>
      </c>
      <c r="E14" s="143">
        <f>SUM(E5:E13)</f>
        <v>131072</v>
      </c>
      <c r="F14" s="143">
        <f>SUM(F5:F13)</f>
        <v>16384</v>
      </c>
    </row>
    <row r="16" spans="1:6" x14ac:dyDescent="0.25">
      <c r="F16" s="139"/>
    </row>
    <row r="18" spans="12:12" x14ac:dyDescent="0.25">
      <c r="L18"/>
    </row>
  </sheetData>
  <mergeCells count="1">
    <mergeCell ref="A1:E1"/>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B2" sqref="B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3" t="s">
        <v>329</v>
      </c>
      <c r="B1" s="113" t="s">
        <v>17</v>
      </c>
      <c r="C1" s="113" t="s">
        <v>331</v>
      </c>
      <c r="D1" s="113" t="s">
        <v>335</v>
      </c>
      <c r="E1" s="113" t="s">
        <v>336</v>
      </c>
      <c r="F1" s="113" t="s">
        <v>337</v>
      </c>
      <c r="G1" s="113" t="s">
        <v>18</v>
      </c>
      <c r="H1" s="113" t="s">
        <v>19</v>
      </c>
    </row>
    <row r="2" spans="1:8" ht="31.5" x14ac:dyDescent="0.25">
      <c r="A2" s="115" t="s">
        <v>20</v>
      </c>
      <c r="B2" s="7" t="s">
        <v>21</v>
      </c>
      <c r="C2" s="7" t="s">
        <v>332</v>
      </c>
      <c r="D2" s="8">
        <v>15872</v>
      </c>
      <c r="E2" s="8">
        <f t="shared" ref="E2" si="0">QUOTIENT(D2+7,8)</f>
        <v>1984</v>
      </c>
      <c r="F2" s="8">
        <f t="shared" ref="F2" si="1">QUOTIENT(E2+1,2)</f>
        <v>992</v>
      </c>
      <c r="G2" s="9" t="s">
        <v>333</v>
      </c>
      <c r="H2" s="10"/>
    </row>
    <row r="3" spans="1:8" ht="19.5" customHeight="1" thickBot="1" x14ac:dyDescent="0.3">
      <c r="A3" s="12" t="str">
        <f>DEC2HEX(HEX2DEC(A2)+F2)</f>
        <v>3E0</v>
      </c>
      <c r="B3" s="13" t="s">
        <v>22</v>
      </c>
      <c r="C3" s="61"/>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4"/>
  <sheetViews>
    <sheetView zoomScaleNormal="100" workbookViewId="0">
      <pane ySplit="1" topLeftCell="A2" activePane="bottomLeft" state="frozen"/>
      <selection pane="bottomLeft" activeCell="C10" sqref="C10"/>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3" t="s">
        <v>329</v>
      </c>
      <c r="B1" s="113" t="s">
        <v>554</v>
      </c>
      <c r="C1" s="113" t="s">
        <v>331</v>
      </c>
      <c r="D1" s="113" t="s">
        <v>335</v>
      </c>
      <c r="E1" s="113" t="s">
        <v>336</v>
      </c>
      <c r="F1" s="113" t="s">
        <v>337</v>
      </c>
      <c r="G1" s="113" t="s">
        <v>18</v>
      </c>
      <c r="H1" s="113" t="s">
        <v>19</v>
      </c>
      <c r="I1" s="4"/>
      <c r="J1" s="4"/>
      <c r="K1" s="4"/>
      <c r="L1" s="4"/>
      <c r="M1" s="4"/>
      <c r="N1" s="4"/>
      <c r="O1" s="4"/>
      <c r="P1" s="4"/>
      <c r="Q1" s="4"/>
    </row>
    <row r="2" spans="1:17" x14ac:dyDescent="0.25">
      <c r="A2" s="115" t="s">
        <v>24</v>
      </c>
      <c r="B2" s="15" t="s">
        <v>25</v>
      </c>
      <c r="C2" s="63" t="s">
        <v>334</v>
      </c>
      <c r="D2" s="8">
        <v>16</v>
      </c>
      <c r="E2" s="8">
        <f t="shared" ref="E2:E12" si="0">QUOTIENT(D2+7,8)</f>
        <v>2</v>
      </c>
      <c r="F2" s="8">
        <f t="shared" ref="F2:F12" si="1">QUOTIENT(E2+1,2)</f>
        <v>1</v>
      </c>
      <c r="G2" s="16" t="s">
        <v>25</v>
      </c>
      <c r="H2" s="16"/>
    </row>
    <row r="3" spans="1:17" x14ac:dyDescent="0.25">
      <c r="A3" s="146" t="str">
        <f t="shared" ref="A3:A13" si="2">DEC2HEX(HEX2DEC(A2)+F2)</f>
        <v>3E1</v>
      </c>
      <c r="B3" s="8" t="s">
        <v>25</v>
      </c>
      <c r="C3" s="63" t="s">
        <v>334</v>
      </c>
      <c r="D3" s="16">
        <v>16</v>
      </c>
      <c r="E3" s="16">
        <f t="shared" si="0"/>
        <v>2</v>
      </c>
      <c r="F3" s="16">
        <f t="shared" si="1"/>
        <v>1</v>
      </c>
      <c r="G3" s="16" t="s">
        <v>25</v>
      </c>
      <c r="H3" s="16"/>
    </row>
    <row r="4" spans="1:17" x14ac:dyDescent="0.25">
      <c r="A4" s="146" t="str">
        <f t="shared" si="2"/>
        <v>3E2</v>
      </c>
      <c r="B4" s="10" t="s">
        <v>26</v>
      </c>
      <c r="C4" s="63" t="s">
        <v>334</v>
      </c>
      <c r="D4" s="16">
        <v>16</v>
      </c>
      <c r="E4" s="16">
        <f t="shared" ref="E4:E8" si="3">QUOTIENT(D4+7,8)</f>
        <v>2</v>
      </c>
      <c r="F4" s="16">
        <f t="shared" ref="F4:F8" si="4">QUOTIENT(E4+1,2)</f>
        <v>1</v>
      </c>
      <c r="G4" s="16" t="s">
        <v>25</v>
      </c>
      <c r="H4" s="18"/>
    </row>
    <row r="5" spans="1:17" ht="126" x14ac:dyDescent="0.25">
      <c r="A5" s="146" t="str">
        <f t="shared" si="2"/>
        <v>3E3</v>
      </c>
      <c r="B5" s="10" t="s">
        <v>703</v>
      </c>
      <c r="C5" s="63" t="s">
        <v>334</v>
      </c>
      <c r="D5" s="16">
        <v>16</v>
      </c>
      <c r="E5" s="16">
        <f t="shared" si="3"/>
        <v>2</v>
      </c>
      <c r="F5" s="16">
        <f t="shared" si="4"/>
        <v>1</v>
      </c>
      <c r="G5" s="16" t="s">
        <v>712</v>
      </c>
      <c r="H5" s="18" t="s">
        <v>27</v>
      </c>
    </row>
    <row r="6" spans="1:17" ht="110.25" x14ac:dyDescent="0.25">
      <c r="A6" s="146" t="str">
        <f t="shared" si="2"/>
        <v>3E4</v>
      </c>
      <c r="B6" s="16" t="s">
        <v>28</v>
      </c>
      <c r="C6" s="63" t="s">
        <v>338</v>
      </c>
      <c r="D6" s="16">
        <v>64</v>
      </c>
      <c r="E6" s="16">
        <f t="shared" si="3"/>
        <v>8</v>
      </c>
      <c r="F6" s="16">
        <f t="shared" si="4"/>
        <v>4</v>
      </c>
      <c r="G6" s="19" t="s">
        <v>713</v>
      </c>
      <c r="H6" s="20" t="s">
        <v>29</v>
      </c>
    </row>
    <row r="7" spans="1:17" ht="47.25" x14ac:dyDescent="0.25">
      <c r="A7" s="147" t="str">
        <f t="shared" si="2"/>
        <v>3E8</v>
      </c>
      <c r="B7" s="18" t="s">
        <v>30</v>
      </c>
      <c r="C7" s="63" t="s">
        <v>330</v>
      </c>
      <c r="D7" s="16">
        <v>32</v>
      </c>
      <c r="E7" s="22">
        <f t="shared" si="3"/>
        <v>4</v>
      </c>
      <c r="F7" s="22">
        <f t="shared" si="4"/>
        <v>2</v>
      </c>
      <c r="G7" s="16" t="s">
        <v>31</v>
      </c>
      <c r="H7" s="20" t="s">
        <v>29</v>
      </c>
    </row>
    <row r="8" spans="1:17" ht="47.25" x14ac:dyDescent="0.25">
      <c r="A8" s="146" t="str">
        <f t="shared" si="2"/>
        <v>3EA</v>
      </c>
      <c r="B8" s="18" t="s">
        <v>32</v>
      </c>
      <c r="C8" s="63" t="s">
        <v>339</v>
      </c>
      <c r="D8" s="16">
        <v>128</v>
      </c>
      <c r="E8" s="18">
        <f t="shared" si="3"/>
        <v>16</v>
      </c>
      <c r="F8" s="18">
        <f t="shared" si="4"/>
        <v>8</v>
      </c>
      <c r="G8" s="16" t="s">
        <v>33</v>
      </c>
      <c r="H8" s="20" t="s">
        <v>29</v>
      </c>
    </row>
    <row r="9" spans="1:17" x14ac:dyDescent="0.25">
      <c r="A9" s="146" t="str">
        <f t="shared" ref="A9:A12" si="5">DEC2HEX(HEX2DEC(A8)+F8)</f>
        <v>3F2</v>
      </c>
      <c r="B9" s="18" t="s">
        <v>34</v>
      </c>
      <c r="C9" s="63" t="s">
        <v>340</v>
      </c>
      <c r="D9" s="16">
        <v>4</v>
      </c>
      <c r="E9" s="18">
        <f t="shared" ref="E9:E11" si="6">QUOTIENT(D9+7,8)</f>
        <v>1</v>
      </c>
      <c r="F9" s="18">
        <f t="shared" ref="F9:F11" si="7">QUOTIENT(E9+1,2)</f>
        <v>1</v>
      </c>
      <c r="G9" s="21" t="s">
        <v>35</v>
      </c>
      <c r="H9" s="23" t="s">
        <v>36</v>
      </c>
    </row>
    <row r="10" spans="1:17" x14ac:dyDescent="0.25">
      <c r="A10" s="146" t="str">
        <f t="shared" si="5"/>
        <v>3F3</v>
      </c>
      <c r="B10" s="18" t="s">
        <v>37</v>
      </c>
      <c r="C10" s="63" t="s">
        <v>330</v>
      </c>
      <c r="D10" s="16">
        <v>32</v>
      </c>
      <c r="E10" s="18">
        <f t="shared" si="6"/>
        <v>4</v>
      </c>
      <c r="F10" s="18">
        <f t="shared" si="7"/>
        <v>2</v>
      </c>
      <c r="G10" s="21" t="s">
        <v>38</v>
      </c>
      <c r="H10" s="23" t="s">
        <v>36</v>
      </c>
    </row>
    <row r="11" spans="1:17" x14ac:dyDescent="0.25">
      <c r="A11" s="146" t="str">
        <f t="shared" si="5"/>
        <v>3F5</v>
      </c>
      <c r="B11" s="18" t="s">
        <v>707</v>
      </c>
      <c r="C11" s="96" t="s">
        <v>339</v>
      </c>
      <c r="D11" s="16">
        <v>128</v>
      </c>
      <c r="E11" s="18">
        <f t="shared" si="6"/>
        <v>16</v>
      </c>
      <c r="F11" s="18">
        <f t="shared" si="7"/>
        <v>8</v>
      </c>
      <c r="G11" s="16" t="s">
        <v>714</v>
      </c>
      <c r="H11" s="20" t="s">
        <v>29</v>
      </c>
    </row>
    <row r="12" spans="1:17" x14ac:dyDescent="0.25">
      <c r="A12" s="149" t="str">
        <f t="shared" si="5"/>
        <v>3FD</v>
      </c>
      <c r="B12" s="24" t="s">
        <v>25</v>
      </c>
      <c r="C12" s="63" t="s">
        <v>715</v>
      </c>
      <c r="D12" s="24">
        <v>48</v>
      </c>
      <c r="E12" s="24">
        <f t="shared" si="0"/>
        <v>6</v>
      </c>
      <c r="F12" s="24">
        <f t="shared" si="1"/>
        <v>3</v>
      </c>
      <c r="G12" s="24" t="s">
        <v>25</v>
      </c>
      <c r="H12" s="21" t="s">
        <v>25</v>
      </c>
    </row>
    <row r="13" spans="1:17" x14ac:dyDescent="0.25">
      <c r="A13" s="12" t="str">
        <f t="shared" si="2"/>
        <v>400</v>
      </c>
      <c r="B13" s="13" t="s">
        <v>22</v>
      </c>
      <c r="C13" s="61"/>
      <c r="D13" s="12">
        <f>SUM(D2:D12)</f>
        <v>500</v>
      </c>
      <c r="E13" s="12">
        <f>SUM(E2:E12)</f>
        <v>63</v>
      </c>
      <c r="F13" s="12">
        <f>SUM(F2:F12)</f>
        <v>32</v>
      </c>
      <c r="G13" s="12"/>
      <c r="H13" s="14"/>
    </row>
    <row r="14" spans="1:17" x14ac:dyDescent="0.25">
      <c r="A14" s="8" t="str">
        <f>DEC2HEX(F14)</f>
        <v>20</v>
      </c>
      <c r="B14" s="8" t="s">
        <v>23</v>
      </c>
      <c r="C14" s="8"/>
      <c r="D14" s="8">
        <f>F13*16</f>
        <v>512</v>
      </c>
      <c r="E14" s="8">
        <f t="shared" ref="E14" si="8">QUOTIENT(D14+7,8)</f>
        <v>64</v>
      </c>
      <c r="F14" s="8">
        <f t="shared" ref="F14" si="9">QUOTIENT(E14+1,2)</f>
        <v>32</v>
      </c>
      <c r="G14" s="11"/>
      <c r="H14"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4"/>
  <sheetViews>
    <sheetView workbookViewId="0">
      <pane ySplit="1" topLeftCell="A2" activePane="bottomLeft" state="frozen"/>
      <selection pane="bottomLeft" activeCell="G5" sqref="G5"/>
    </sheetView>
  </sheetViews>
  <sheetFormatPr defaultRowHeight="16.5" x14ac:dyDescent="0.25"/>
  <cols>
    <col min="1" max="1" width="22.5" customWidth="1"/>
    <col min="2" max="2" width="35" customWidth="1"/>
    <col min="3" max="3" width="6.625" style="62"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3" t="s">
        <v>329</v>
      </c>
      <c r="B1" s="113" t="s">
        <v>554</v>
      </c>
      <c r="C1" s="113" t="s">
        <v>331</v>
      </c>
      <c r="D1" s="113" t="s">
        <v>335</v>
      </c>
      <c r="E1" s="113" t="s">
        <v>336</v>
      </c>
      <c r="F1" s="113" t="s">
        <v>337</v>
      </c>
      <c r="G1" s="113" t="s">
        <v>18</v>
      </c>
      <c r="H1" s="113" t="s">
        <v>19</v>
      </c>
      <c r="I1" s="113" t="s">
        <v>341</v>
      </c>
    </row>
    <row r="2" spans="1:9" ht="31.5" x14ac:dyDescent="0.25">
      <c r="A2" s="120">
        <v>400</v>
      </c>
      <c r="B2" s="25" t="s">
        <v>39</v>
      </c>
      <c r="C2" s="64">
        <v>15</v>
      </c>
      <c r="D2" s="8">
        <v>1</v>
      </c>
      <c r="E2" s="16">
        <f t="shared" ref="E2:E11" si="0">QUOTIENT(D2+7,8)</f>
        <v>1</v>
      </c>
      <c r="F2" s="8">
        <f t="shared" ref="F2:F11" si="1">QUOTIENT(E2+1,2)</f>
        <v>1</v>
      </c>
      <c r="G2" s="26" t="s">
        <v>40</v>
      </c>
      <c r="H2" s="16" t="s">
        <v>378</v>
      </c>
      <c r="I2" s="26" t="s">
        <v>342</v>
      </c>
    </row>
    <row r="3" spans="1:9" ht="31.5" x14ac:dyDescent="0.25">
      <c r="A3" s="120">
        <v>400</v>
      </c>
      <c r="B3" s="28" t="s">
        <v>41</v>
      </c>
      <c r="C3" s="64">
        <v>14</v>
      </c>
      <c r="D3" s="16">
        <v>1</v>
      </c>
      <c r="E3" s="16">
        <f t="shared" si="0"/>
        <v>1</v>
      </c>
      <c r="F3" s="16">
        <f t="shared" si="1"/>
        <v>1</v>
      </c>
      <c r="G3" s="69" t="s">
        <v>42</v>
      </c>
      <c r="H3" s="16" t="s">
        <v>378</v>
      </c>
      <c r="I3" s="74" t="s">
        <v>342</v>
      </c>
    </row>
    <row r="4" spans="1:9" ht="63" x14ac:dyDescent="0.25">
      <c r="A4" s="120">
        <v>400</v>
      </c>
      <c r="B4" s="29" t="s">
        <v>43</v>
      </c>
      <c r="C4" s="64">
        <v>13</v>
      </c>
      <c r="D4" s="16">
        <v>1</v>
      </c>
      <c r="E4" s="16">
        <f t="shared" si="0"/>
        <v>1</v>
      </c>
      <c r="F4" s="16">
        <f t="shared" si="1"/>
        <v>1</v>
      </c>
      <c r="G4" s="34" t="s">
        <v>716</v>
      </c>
      <c r="H4" s="16" t="s">
        <v>378</v>
      </c>
      <c r="I4" s="74" t="s">
        <v>342</v>
      </c>
    </row>
    <row r="5" spans="1:9" ht="31.5" x14ac:dyDescent="0.25">
      <c r="A5" s="120">
        <v>400</v>
      </c>
      <c r="B5" s="27" t="s">
        <v>44</v>
      </c>
      <c r="C5" s="64">
        <v>12</v>
      </c>
      <c r="D5" s="16">
        <v>1</v>
      </c>
      <c r="E5" s="16">
        <f t="shared" si="0"/>
        <v>1</v>
      </c>
      <c r="F5" s="16">
        <f t="shared" si="1"/>
        <v>1</v>
      </c>
      <c r="G5" s="34" t="s">
        <v>45</v>
      </c>
      <c r="H5" s="16" t="s">
        <v>378</v>
      </c>
      <c r="I5" s="74" t="s">
        <v>342</v>
      </c>
    </row>
    <row r="6" spans="1:9" ht="63" x14ac:dyDescent="0.25">
      <c r="A6" s="120">
        <v>400</v>
      </c>
      <c r="B6" s="27" t="s">
        <v>46</v>
      </c>
      <c r="C6" s="64">
        <v>11</v>
      </c>
      <c r="D6" s="16">
        <v>1</v>
      </c>
      <c r="E6" s="16">
        <f t="shared" si="0"/>
        <v>1</v>
      </c>
      <c r="F6" s="16">
        <f t="shared" si="1"/>
        <v>1</v>
      </c>
      <c r="G6" s="34" t="s">
        <v>47</v>
      </c>
      <c r="H6" s="16" t="s">
        <v>378</v>
      </c>
      <c r="I6" s="74" t="s">
        <v>342</v>
      </c>
    </row>
    <row r="7" spans="1:9" ht="31.5" x14ac:dyDescent="0.25">
      <c r="A7" s="120">
        <v>400</v>
      </c>
      <c r="B7" s="29" t="s">
        <v>48</v>
      </c>
      <c r="C7" s="64">
        <v>10</v>
      </c>
      <c r="D7" s="16">
        <v>1</v>
      </c>
      <c r="E7" s="22">
        <f t="shared" si="0"/>
        <v>1</v>
      </c>
      <c r="F7" s="22">
        <f t="shared" si="1"/>
        <v>1</v>
      </c>
      <c r="G7" s="70" t="s">
        <v>49</v>
      </c>
      <c r="H7" s="16" t="s">
        <v>378</v>
      </c>
      <c r="I7" s="74" t="s">
        <v>342</v>
      </c>
    </row>
    <row r="8" spans="1:9" ht="78.75" x14ac:dyDescent="0.25">
      <c r="A8" s="120">
        <v>400</v>
      </c>
      <c r="B8" s="30" t="s">
        <v>50</v>
      </c>
      <c r="C8" s="64">
        <v>9</v>
      </c>
      <c r="D8" s="16">
        <v>1</v>
      </c>
      <c r="E8" s="18">
        <f t="shared" si="0"/>
        <v>1</v>
      </c>
      <c r="F8" s="18">
        <f t="shared" si="1"/>
        <v>1</v>
      </c>
      <c r="G8" s="71" t="s">
        <v>608</v>
      </c>
      <c r="H8" s="16" t="s">
        <v>378</v>
      </c>
      <c r="I8" s="74" t="s">
        <v>342</v>
      </c>
    </row>
    <row r="9" spans="1:9" x14ac:dyDescent="0.25">
      <c r="A9" s="120">
        <v>400</v>
      </c>
      <c r="B9" s="25" t="s">
        <v>25</v>
      </c>
      <c r="C9" s="64">
        <v>8</v>
      </c>
      <c r="D9" s="16">
        <v>1</v>
      </c>
      <c r="E9" s="18">
        <f t="shared" si="0"/>
        <v>1</v>
      </c>
      <c r="F9" s="18">
        <f t="shared" si="1"/>
        <v>1</v>
      </c>
      <c r="G9" s="72" t="s">
        <v>25</v>
      </c>
      <c r="H9" s="16" t="s">
        <v>378</v>
      </c>
      <c r="I9" s="74" t="s">
        <v>342</v>
      </c>
    </row>
    <row r="10" spans="1:9" ht="31.5" x14ac:dyDescent="0.25">
      <c r="A10" s="120">
        <v>400</v>
      </c>
      <c r="B10" s="32" t="s">
        <v>51</v>
      </c>
      <c r="C10" s="64">
        <v>7</v>
      </c>
      <c r="D10" s="16">
        <v>1</v>
      </c>
      <c r="E10" s="18">
        <f t="shared" si="0"/>
        <v>1</v>
      </c>
      <c r="F10" s="18">
        <f t="shared" si="1"/>
        <v>1</v>
      </c>
      <c r="G10" s="71" t="s">
        <v>52</v>
      </c>
      <c r="H10" s="16" t="s">
        <v>378</v>
      </c>
      <c r="I10" s="74" t="s">
        <v>342</v>
      </c>
    </row>
    <row r="11" spans="1:9" ht="31.5" x14ac:dyDescent="0.25">
      <c r="A11" s="120">
        <v>400</v>
      </c>
      <c r="B11" s="32" t="s">
        <v>53</v>
      </c>
      <c r="C11" s="64">
        <v>6</v>
      </c>
      <c r="D11" s="16">
        <v>1</v>
      </c>
      <c r="E11" s="21">
        <f t="shared" si="0"/>
        <v>1</v>
      </c>
      <c r="F11" s="21">
        <f t="shared" si="1"/>
        <v>1</v>
      </c>
      <c r="G11" s="71" t="s">
        <v>54</v>
      </c>
      <c r="H11" s="16" t="s">
        <v>378</v>
      </c>
      <c r="I11" s="74" t="s">
        <v>342</v>
      </c>
    </row>
    <row r="12" spans="1:9" ht="47.25" x14ac:dyDescent="0.25">
      <c r="A12" s="120">
        <v>400</v>
      </c>
      <c r="B12" s="33" t="s">
        <v>55</v>
      </c>
      <c r="C12" s="64">
        <v>5</v>
      </c>
      <c r="D12" s="16">
        <v>1</v>
      </c>
      <c r="E12" s="18">
        <f t="shared" ref="E12:E17" si="2">QUOTIENT(D12+7,8)</f>
        <v>1</v>
      </c>
      <c r="F12" s="18">
        <f t="shared" ref="F12:F17" si="3">QUOTIENT(E12+1,2)</f>
        <v>1</v>
      </c>
      <c r="G12" s="71" t="s">
        <v>56</v>
      </c>
      <c r="H12" s="16" t="s">
        <v>378</v>
      </c>
      <c r="I12" s="74" t="s">
        <v>342</v>
      </c>
    </row>
    <row r="13" spans="1:9" ht="31.5" x14ac:dyDescent="0.25">
      <c r="A13" s="120">
        <v>400</v>
      </c>
      <c r="B13" s="34" t="s">
        <v>57</v>
      </c>
      <c r="C13" s="64">
        <v>4</v>
      </c>
      <c r="D13" s="16">
        <v>1</v>
      </c>
      <c r="E13" s="21">
        <f t="shared" si="2"/>
        <v>1</v>
      </c>
      <c r="F13" s="21">
        <f t="shared" si="3"/>
        <v>1</v>
      </c>
      <c r="G13" s="71" t="s">
        <v>58</v>
      </c>
      <c r="H13" s="16" t="s">
        <v>378</v>
      </c>
      <c r="I13" s="74" t="s">
        <v>342</v>
      </c>
    </row>
    <row r="14" spans="1:9" ht="31.5" x14ac:dyDescent="0.25">
      <c r="A14" s="120">
        <v>400</v>
      </c>
      <c r="B14" s="35" t="s">
        <v>59</v>
      </c>
      <c r="C14" s="64">
        <v>3</v>
      </c>
      <c r="D14" s="16">
        <v>1</v>
      </c>
      <c r="E14" s="18">
        <f t="shared" si="2"/>
        <v>1</v>
      </c>
      <c r="F14" s="18">
        <f t="shared" si="3"/>
        <v>1</v>
      </c>
      <c r="G14" s="71" t="s">
        <v>60</v>
      </c>
      <c r="H14" s="16" t="s">
        <v>378</v>
      </c>
      <c r="I14" s="74" t="s">
        <v>342</v>
      </c>
    </row>
    <row r="15" spans="1:9" ht="31.5" x14ac:dyDescent="0.25">
      <c r="A15" s="120">
        <v>400</v>
      </c>
      <c r="B15" s="35" t="s">
        <v>61</v>
      </c>
      <c r="C15" s="64">
        <v>2</v>
      </c>
      <c r="D15" s="16">
        <v>1</v>
      </c>
      <c r="E15" s="21">
        <f t="shared" si="2"/>
        <v>1</v>
      </c>
      <c r="F15" s="21">
        <f t="shared" si="3"/>
        <v>1</v>
      </c>
      <c r="G15" s="71" t="s">
        <v>62</v>
      </c>
      <c r="H15" s="16" t="s">
        <v>378</v>
      </c>
      <c r="I15" s="74" t="s">
        <v>342</v>
      </c>
    </row>
    <row r="16" spans="1:9" ht="31.5" x14ac:dyDescent="0.25">
      <c r="A16" s="120">
        <v>400</v>
      </c>
      <c r="B16" s="35" t="s">
        <v>63</v>
      </c>
      <c r="C16" s="64">
        <v>1</v>
      </c>
      <c r="D16" s="16">
        <v>1</v>
      </c>
      <c r="E16" s="18">
        <f t="shared" si="2"/>
        <v>1</v>
      </c>
      <c r="F16" s="18">
        <f t="shared" si="3"/>
        <v>1</v>
      </c>
      <c r="G16" s="71" t="s">
        <v>64</v>
      </c>
      <c r="H16" s="16" t="s">
        <v>378</v>
      </c>
      <c r="I16" s="74" t="s">
        <v>342</v>
      </c>
    </row>
    <row r="17" spans="1:9" ht="32.25" thickBot="1" x14ac:dyDescent="0.3">
      <c r="A17" s="122">
        <v>400</v>
      </c>
      <c r="B17" s="38" t="s">
        <v>65</v>
      </c>
      <c r="C17" s="65">
        <v>0</v>
      </c>
      <c r="D17" s="66">
        <v>1</v>
      </c>
      <c r="E17" s="66">
        <f t="shared" si="2"/>
        <v>1</v>
      </c>
      <c r="F17" s="66">
        <f t="shared" si="3"/>
        <v>1</v>
      </c>
      <c r="G17" s="73" t="s">
        <v>66</v>
      </c>
      <c r="H17" s="66" t="s">
        <v>378</v>
      </c>
      <c r="I17" s="94" t="s">
        <v>342</v>
      </c>
    </row>
    <row r="18" spans="1:9" ht="32.25" thickBot="1" x14ac:dyDescent="0.3">
      <c r="A18" s="148" t="str">
        <f t="shared" ref="A18:A19" si="4">DEC2HEX(HEX2DEC(A17)+F17)</f>
        <v>401</v>
      </c>
      <c r="B18" s="40" t="s">
        <v>67</v>
      </c>
      <c r="C18" s="67" t="s">
        <v>334</v>
      </c>
      <c r="D18" s="68">
        <v>16</v>
      </c>
      <c r="E18" s="68">
        <f t="shared" ref="E18:E19" si="5">QUOTIENT(D18+7,8)</f>
        <v>2</v>
      </c>
      <c r="F18" s="68">
        <f t="shared" ref="F18:F19" si="6">QUOTIENT(E18+1,2)</f>
        <v>1</v>
      </c>
      <c r="G18" s="80" t="s">
        <v>68</v>
      </c>
      <c r="H18" s="68" t="s">
        <v>378</v>
      </c>
      <c r="I18" s="42" t="s">
        <v>345</v>
      </c>
    </row>
    <row r="19" spans="1:9" x14ac:dyDescent="0.25">
      <c r="A19" s="149" t="str">
        <f t="shared" si="4"/>
        <v>402</v>
      </c>
      <c r="B19" s="7" t="s">
        <v>708</v>
      </c>
      <c r="C19" s="64">
        <v>15</v>
      </c>
      <c r="D19" s="8">
        <v>1</v>
      </c>
      <c r="E19" s="8">
        <f t="shared" si="5"/>
        <v>1</v>
      </c>
      <c r="F19" s="8">
        <f t="shared" si="6"/>
        <v>1</v>
      </c>
      <c r="G19" s="78" t="s">
        <v>711</v>
      </c>
      <c r="H19" s="78"/>
      <c r="I19" s="15" t="s">
        <v>379</v>
      </c>
    </row>
    <row r="20" spans="1:9" x14ac:dyDescent="0.25">
      <c r="A20" s="120">
        <v>402</v>
      </c>
      <c r="B20" s="36" t="s">
        <v>709</v>
      </c>
      <c r="C20" s="64">
        <v>14</v>
      </c>
      <c r="D20" s="8">
        <v>1</v>
      </c>
      <c r="E20" s="16">
        <f t="shared" ref="E20:E104" si="7">QUOTIENT(D20+7,8)</f>
        <v>1</v>
      </c>
      <c r="F20" s="8">
        <f t="shared" ref="F20:F104" si="8">QUOTIENT(E20+1,2)</f>
        <v>1</v>
      </c>
      <c r="G20" s="34" t="s">
        <v>710</v>
      </c>
      <c r="H20" s="34"/>
      <c r="I20" s="19" t="s">
        <v>379</v>
      </c>
    </row>
    <row r="21" spans="1:9" ht="31.5" x14ac:dyDescent="0.25">
      <c r="A21" s="120">
        <v>402</v>
      </c>
      <c r="B21" s="36" t="s">
        <v>69</v>
      </c>
      <c r="C21" s="64">
        <v>13</v>
      </c>
      <c r="D21" s="8">
        <v>1</v>
      </c>
      <c r="E21" s="16">
        <f t="shared" si="7"/>
        <v>1</v>
      </c>
      <c r="F21" s="8">
        <f t="shared" si="8"/>
        <v>1</v>
      </c>
      <c r="G21" s="34" t="s">
        <v>70</v>
      </c>
      <c r="H21" s="59"/>
      <c r="I21" s="19" t="s">
        <v>379</v>
      </c>
    </row>
    <row r="22" spans="1:9" x14ac:dyDescent="0.25">
      <c r="A22" s="120">
        <v>402</v>
      </c>
      <c r="B22" s="36" t="s">
        <v>26</v>
      </c>
      <c r="C22" s="64">
        <v>12</v>
      </c>
      <c r="D22" s="8">
        <v>1</v>
      </c>
      <c r="E22" s="16">
        <f t="shared" si="7"/>
        <v>1</v>
      </c>
      <c r="F22" s="8">
        <f t="shared" si="8"/>
        <v>1</v>
      </c>
      <c r="G22" s="34" t="s">
        <v>26</v>
      </c>
      <c r="H22" s="59"/>
      <c r="I22" s="19" t="s">
        <v>379</v>
      </c>
    </row>
    <row r="23" spans="1:9" x14ac:dyDescent="0.25">
      <c r="A23" s="120">
        <v>402</v>
      </c>
      <c r="B23" s="36" t="s">
        <v>26</v>
      </c>
      <c r="C23" s="64">
        <v>11</v>
      </c>
      <c r="D23" s="8">
        <v>1</v>
      </c>
      <c r="E23" s="16">
        <f t="shared" si="7"/>
        <v>1</v>
      </c>
      <c r="F23" s="8">
        <f t="shared" si="8"/>
        <v>1</v>
      </c>
      <c r="G23" s="34" t="s">
        <v>26</v>
      </c>
      <c r="H23" s="59"/>
      <c r="I23" s="19" t="s">
        <v>379</v>
      </c>
    </row>
    <row r="24" spans="1:9" x14ac:dyDescent="0.25">
      <c r="A24" s="120">
        <v>402</v>
      </c>
      <c r="B24" s="36" t="s">
        <v>26</v>
      </c>
      <c r="C24" s="64">
        <v>10</v>
      </c>
      <c r="D24" s="8">
        <v>1</v>
      </c>
      <c r="E24" s="16">
        <f t="shared" si="7"/>
        <v>1</v>
      </c>
      <c r="F24" s="8">
        <f t="shared" si="8"/>
        <v>1</v>
      </c>
      <c r="G24" s="34" t="s">
        <v>26</v>
      </c>
      <c r="H24" s="59"/>
      <c r="I24" s="19" t="s">
        <v>379</v>
      </c>
    </row>
    <row r="25" spans="1:9" ht="110.25" x14ac:dyDescent="0.25">
      <c r="A25" s="120">
        <v>402</v>
      </c>
      <c r="B25" s="75" t="s">
        <v>71</v>
      </c>
      <c r="C25" s="63" t="s">
        <v>343</v>
      </c>
      <c r="D25" s="8">
        <v>2</v>
      </c>
      <c r="E25" s="16">
        <f t="shared" si="7"/>
        <v>1</v>
      </c>
      <c r="F25" s="8">
        <f t="shared" si="8"/>
        <v>1</v>
      </c>
      <c r="G25" s="79" t="s">
        <v>609</v>
      </c>
      <c r="H25" s="59" t="s">
        <v>410</v>
      </c>
      <c r="I25" s="19" t="s">
        <v>379</v>
      </c>
    </row>
    <row r="26" spans="1:9" ht="63" x14ac:dyDescent="0.25">
      <c r="A26" s="120">
        <v>402</v>
      </c>
      <c r="B26" s="36" t="s">
        <v>72</v>
      </c>
      <c r="C26" s="63" t="s">
        <v>344</v>
      </c>
      <c r="D26" s="8">
        <v>2</v>
      </c>
      <c r="E26" s="16">
        <f t="shared" si="7"/>
        <v>1</v>
      </c>
      <c r="F26" s="8">
        <f t="shared" si="8"/>
        <v>1</v>
      </c>
      <c r="G26" s="79" t="s">
        <v>73</v>
      </c>
      <c r="H26" s="59" t="s">
        <v>409</v>
      </c>
      <c r="I26" s="19" t="s">
        <v>379</v>
      </c>
    </row>
    <row r="27" spans="1:9" ht="47.25" x14ac:dyDescent="0.25">
      <c r="A27" s="120">
        <v>402</v>
      </c>
      <c r="B27" s="36" t="s">
        <v>74</v>
      </c>
      <c r="C27" s="64">
        <v>5</v>
      </c>
      <c r="D27" s="8">
        <v>1</v>
      </c>
      <c r="E27" s="16">
        <f t="shared" si="7"/>
        <v>1</v>
      </c>
      <c r="F27" s="8">
        <f t="shared" si="8"/>
        <v>1</v>
      </c>
      <c r="G27" s="79" t="s">
        <v>610</v>
      </c>
      <c r="H27" s="59" t="s">
        <v>411</v>
      </c>
      <c r="I27" s="19" t="s">
        <v>379</v>
      </c>
    </row>
    <row r="28" spans="1:9" ht="47.25" x14ac:dyDescent="0.25">
      <c r="A28" s="120">
        <v>402</v>
      </c>
      <c r="B28" s="36" t="s">
        <v>75</v>
      </c>
      <c r="C28" s="64">
        <v>4</v>
      </c>
      <c r="D28" s="8">
        <v>1</v>
      </c>
      <c r="E28" s="16">
        <f t="shared" si="7"/>
        <v>1</v>
      </c>
      <c r="F28" s="8">
        <f t="shared" si="8"/>
        <v>1</v>
      </c>
      <c r="G28" s="34" t="s">
        <v>76</v>
      </c>
      <c r="H28" s="59" t="s">
        <v>409</v>
      </c>
      <c r="I28" s="19" t="s">
        <v>379</v>
      </c>
    </row>
    <row r="29" spans="1:9" ht="110.25" x14ac:dyDescent="0.25">
      <c r="A29" s="120">
        <v>402</v>
      </c>
      <c r="B29" s="31" t="s">
        <v>77</v>
      </c>
      <c r="C29" s="64">
        <v>3</v>
      </c>
      <c r="D29" s="8">
        <v>1</v>
      </c>
      <c r="E29" s="16">
        <f t="shared" si="7"/>
        <v>1</v>
      </c>
      <c r="F29" s="8">
        <f t="shared" si="8"/>
        <v>1</v>
      </c>
      <c r="G29" s="34" t="s">
        <v>78</v>
      </c>
      <c r="H29" s="59" t="s">
        <v>412</v>
      </c>
      <c r="I29" s="19" t="s">
        <v>379</v>
      </c>
    </row>
    <row r="30" spans="1:9" x14ac:dyDescent="0.25">
      <c r="A30" s="120">
        <v>402</v>
      </c>
      <c r="B30" s="36" t="s">
        <v>26</v>
      </c>
      <c r="C30" s="64">
        <v>2</v>
      </c>
      <c r="D30" s="8">
        <v>1</v>
      </c>
      <c r="E30" s="16">
        <f t="shared" si="7"/>
        <v>1</v>
      </c>
      <c r="F30" s="8">
        <f t="shared" si="8"/>
        <v>1</v>
      </c>
      <c r="G30" s="34" t="s">
        <v>26</v>
      </c>
      <c r="H30" s="59"/>
      <c r="I30" s="19" t="s">
        <v>379</v>
      </c>
    </row>
    <row r="31" spans="1:9" x14ac:dyDescent="0.25">
      <c r="A31" s="120">
        <v>402</v>
      </c>
      <c r="B31" s="36" t="s">
        <v>26</v>
      </c>
      <c r="C31" s="64">
        <v>1</v>
      </c>
      <c r="D31" s="8">
        <v>1</v>
      </c>
      <c r="E31" s="16">
        <f t="shared" si="7"/>
        <v>1</v>
      </c>
      <c r="F31" s="8">
        <f t="shared" si="8"/>
        <v>1</v>
      </c>
      <c r="G31" s="34" t="s">
        <v>26</v>
      </c>
      <c r="H31" s="59"/>
      <c r="I31" s="19" t="s">
        <v>379</v>
      </c>
    </row>
    <row r="32" spans="1:9" ht="95.25" thickBot="1" x14ac:dyDescent="0.3">
      <c r="A32" s="122">
        <v>402</v>
      </c>
      <c r="B32" s="76" t="s">
        <v>79</v>
      </c>
      <c r="C32" s="95">
        <v>0</v>
      </c>
      <c r="D32" s="66">
        <v>1</v>
      </c>
      <c r="E32" s="66">
        <f t="shared" si="7"/>
        <v>1</v>
      </c>
      <c r="F32" s="66">
        <f t="shared" si="8"/>
        <v>1</v>
      </c>
      <c r="G32" s="38" t="s">
        <v>704</v>
      </c>
      <c r="H32" s="101" t="s">
        <v>414</v>
      </c>
      <c r="I32" s="46" t="s">
        <v>379</v>
      </c>
    </row>
    <row r="33" spans="1:9" ht="32.25" thickBot="1" x14ac:dyDescent="0.3">
      <c r="A33" s="150">
        <v>403</v>
      </c>
      <c r="B33" s="47" t="s">
        <v>80</v>
      </c>
      <c r="C33" s="67" t="s">
        <v>334</v>
      </c>
      <c r="D33" s="68">
        <v>16</v>
      </c>
      <c r="E33" s="68">
        <f t="shared" si="7"/>
        <v>2</v>
      </c>
      <c r="F33" s="68">
        <f t="shared" si="8"/>
        <v>1</v>
      </c>
      <c r="G33" s="80" t="s">
        <v>81</v>
      </c>
      <c r="H33" s="50"/>
      <c r="I33" s="42" t="s">
        <v>380</v>
      </c>
    </row>
    <row r="34" spans="1:9" x14ac:dyDescent="0.25">
      <c r="A34" s="142">
        <v>404</v>
      </c>
      <c r="B34" s="81" t="s">
        <v>26</v>
      </c>
      <c r="C34" s="63" t="s">
        <v>347</v>
      </c>
      <c r="D34" s="8">
        <v>5</v>
      </c>
      <c r="E34" s="8">
        <f t="shared" si="7"/>
        <v>1</v>
      </c>
      <c r="F34" s="8">
        <f t="shared" si="8"/>
        <v>1</v>
      </c>
      <c r="G34" s="86" t="s">
        <v>346</v>
      </c>
      <c r="H34" s="51"/>
      <c r="I34" s="15" t="s">
        <v>381</v>
      </c>
    </row>
    <row r="35" spans="1:9" ht="31.5" x14ac:dyDescent="0.25">
      <c r="A35" s="120">
        <v>404</v>
      </c>
      <c r="B35" s="43" t="s">
        <v>82</v>
      </c>
      <c r="C35" s="96" t="s">
        <v>348</v>
      </c>
      <c r="D35" s="16">
        <v>10</v>
      </c>
      <c r="E35" s="16">
        <f t="shared" si="7"/>
        <v>2</v>
      </c>
      <c r="F35" s="8">
        <f t="shared" si="8"/>
        <v>1</v>
      </c>
      <c r="G35" s="44" t="s">
        <v>83</v>
      </c>
      <c r="H35" s="59" t="s">
        <v>414</v>
      </c>
      <c r="I35" s="19" t="s">
        <v>381</v>
      </c>
    </row>
    <row r="36" spans="1:9" ht="48" thickBot="1" x14ac:dyDescent="0.3">
      <c r="A36" s="122">
        <v>404</v>
      </c>
      <c r="B36" s="98" t="s">
        <v>84</v>
      </c>
      <c r="C36" s="95">
        <v>0</v>
      </c>
      <c r="D36" s="66">
        <v>1</v>
      </c>
      <c r="E36" s="66">
        <f t="shared" si="7"/>
        <v>1</v>
      </c>
      <c r="F36" s="93">
        <f t="shared" si="8"/>
        <v>1</v>
      </c>
      <c r="G36" s="99" t="s">
        <v>705</v>
      </c>
      <c r="H36" s="60" t="s">
        <v>414</v>
      </c>
      <c r="I36" s="46" t="s">
        <v>381</v>
      </c>
    </row>
    <row r="37" spans="1:9" x14ac:dyDescent="0.25">
      <c r="A37" s="142">
        <v>405</v>
      </c>
      <c r="B37" s="43" t="s">
        <v>26</v>
      </c>
      <c r="C37" s="63" t="s">
        <v>349</v>
      </c>
      <c r="D37" s="8">
        <v>6</v>
      </c>
      <c r="E37" s="8">
        <f t="shared" si="7"/>
        <v>1</v>
      </c>
      <c r="F37" s="8">
        <f t="shared" si="8"/>
        <v>1</v>
      </c>
      <c r="G37" s="86" t="s">
        <v>346</v>
      </c>
      <c r="H37" s="51"/>
      <c r="I37" s="15" t="s">
        <v>382</v>
      </c>
    </row>
    <row r="38" spans="1:9" ht="48" thickBot="1" x14ac:dyDescent="0.3">
      <c r="A38" s="122">
        <v>405</v>
      </c>
      <c r="B38" s="98" t="s">
        <v>85</v>
      </c>
      <c r="C38" s="97" t="s">
        <v>350</v>
      </c>
      <c r="D38" s="66">
        <v>10</v>
      </c>
      <c r="E38" s="66">
        <f t="shared" si="7"/>
        <v>2</v>
      </c>
      <c r="F38" s="93">
        <f t="shared" si="8"/>
        <v>1</v>
      </c>
      <c r="G38" s="99" t="s">
        <v>611</v>
      </c>
      <c r="H38" s="101" t="s">
        <v>414</v>
      </c>
      <c r="I38" s="46" t="s">
        <v>382</v>
      </c>
    </row>
    <row r="39" spans="1:9" x14ac:dyDescent="0.25">
      <c r="A39" s="142">
        <v>406</v>
      </c>
      <c r="B39" s="81" t="s">
        <v>26</v>
      </c>
      <c r="C39" s="63" t="s">
        <v>347</v>
      </c>
      <c r="D39" s="8">
        <v>5</v>
      </c>
      <c r="E39" s="8">
        <f t="shared" si="7"/>
        <v>1</v>
      </c>
      <c r="F39" s="8">
        <f t="shared" si="8"/>
        <v>1</v>
      </c>
      <c r="G39" s="86" t="s">
        <v>26</v>
      </c>
      <c r="H39" s="51"/>
      <c r="I39" s="15" t="s">
        <v>383</v>
      </c>
    </row>
    <row r="40" spans="1:9" ht="31.5" x14ac:dyDescent="0.25">
      <c r="A40" s="120">
        <v>406</v>
      </c>
      <c r="B40" s="43" t="s">
        <v>86</v>
      </c>
      <c r="C40" s="96" t="s">
        <v>348</v>
      </c>
      <c r="D40" s="16">
        <v>10</v>
      </c>
      <c r="E40" s="16">
        <f t="shared" si="7"/>
        <v>2</v>
      </c>
      <c r="F40" s="8">
        <f t="shared" si="8"/>
        <v>1</v>
      </c>
      <c r="G40" s="44" t="s">
        <v>83</v>
      </c>
      <c r="H40" s="59" t="s">
        <v>414</v>
      </c>
      <c r="I40" s="15" t="s">
        <v>383</v>
      </c>
    </row>
    <row r="41" spans="1:9" ht="48" thickBot="1" x14ac:dyDescent="0.3">
      <c r="A41" s="122">
        <v>406</v>
      </c>
      <c r="B41" s="98" t="s">
        <v>87</v>
      </c>
      <c r="C41" s="95">
        <v>0</v>
      </c>
      <c r="D41" s="66">
        <v>1</v>
      </c>
      <c r="E41" s="66">
        <f t="shared" si="7"/>
        <v>1</v>
      </c>
      <c r="F41" s="93">
        <f t="shared" si="8"/>
        <v>1</v>
      </c>
      <c r="G41" s="99" t="s">
        <v>88</v>
      </c>
      <c r="H41" s="101" t="s">
        <v>414</v>
      </c>
      <c r="I41" s="41" t="s">
        <v>383</v>
      </c>
    </row>
    <row r="42" spans="1:9" x14ac:dyDescent="0.25">
      <c r="A42" s="142">
        <v>407</v>
      </c>
      <c r="B42" s="43" t="s">
        <v>26</v>
      </c>
      <c r="C42" s="63" t="s">
        <v>349</v>
      </c>
      <c r="D42" s="8">
        <v>6</v>
      </c>
      <c r="E42" s="8">
        <f t="shared" si="7"/>
        <v>1</v>
      </c>
      <c r="F42" s="8">
        <f t="shared" si="8"/>
        <v>1</v>
      </c>
      <c r="G42" s="44" t="s">
        <v>25</v>
      </c>
      <c r="H42" s="51"/>
      <c r="I42" s="15" t="s">
        <v>384</v>
      </c>
    </row>
    <row r="43" spans="1:9" ht="48" thickBot="1" x14ac:dyDescent="0.3">
      <c r="A43" s="122">
        <v>407</v>
      </c>
      <c r="B43" s="98" t="s">
        <v>89</v>
      </c>
      <c r="C43" s="97" t="s">
        <v>350</v>
      </c>
      <c r="D43" s="66">
        <v>10</v>
      </c>
      <c r="E43" s="66">
        <f t="shared" si="7"/>
        <v>2</v>
      </c>
      <c r="F43" s="93">
        <f t="shared" si="8"/>
        <v>1</v>
      </c>
      <c r="G43" s="99" t="s">
        <v>612</v>
      </c>
      <c r="H43" s="101" t="s">
        <v>413</v>
      </c>
      <c r="I43" s="41" t="s">
        <v>384</v>
      </c>
    </row>
    <row r="44" spans="1:9" ht="17.25" thickBot="1" x14ac:dyDescent="0.3">
      <c r="A44" s="150">
        <v>408</v>
      </c>
      <c r="B44" s="85" t="s">
        <v>26</v>
      </c>
      <c r="C44" s="67" t="s">
        <v>334</v>
      </c>
      <c r="D44" s="68">
        <v>16</v>
      </c>
      <c r="E44" s="68">
        <f t="shared" si="7"/>
        <v>2</v>
      </c>
      <c r="F44" s="68">
        <f t="shared" si="8"/>
        <v>1</v>
      </c>
      <c r="G44" s="39" t="s">
        <v>26</v>
      </c>
      <c r="H44" s="50"/>
      <c r="I44" s="42" t="s">
        <v>385</v>
      </c>
    </row>
    <row r="45" spans="1:9" ht="78.75" x14ac:dyDescent="0.25">
      <c r="A45" s="142">
        <v>409</v>
      </c>
      <c r="B45" s="83" t="s">
        <v>680</v>
      </c>
      <c r="C45" s="64">
        <v>15</v>
      </c>
      <c r="D45" s="8">
        <v>1</v>
      </c>
      <c r="E45" s="8">
        <f t="shared" si="7"/>
        <v>1</v>
      </c>
      <c r="F45" s="8">
        <f t="shared" si="8"/>
        <v>1</v>
      </c>
      <c r="G45" s="88" t="s">
        <v>679</v>
      </c>
      <c r="H45" s="51" t="s">
        <v>415</v>
      </c>
      <c r="I45" s="15" t="s">
        <v>386</v>
      </c>
    </row>
    <row r="46" spans="1:9" x14ac:dyDescent="0.25">
      <c r="A46" s="120">
        <v>409</v>
      </c>
      <c r="B46" s="29" t="s">
        <v>670</v>
      </c>
      <c r="C46" s="100">
        <v>14</v>
      </c>
      <c r="D46" s="16">
        <v>1</v>
      </c>
      <c r="E46" s="16">
        <f t="shared" ref="E46:E59" si="9">QUOTIENT(D46+7,8)</f>
        <v>1</v>
      </c>
      <c r="F46" s="16">
        <f t="shared" ref="F46:F59" si="10">QUOTIENT(E46+1,2)</f>
        <v>1</v>
      </c>
      <c r="G46" s="19" t="s">
        <v>676</v>
      </c>
      <c r="H46" s="51" t="s">
        <v>415</v>
      </c>
      <c r="I46" s="15" t="s">
        <v>678</v>
      </c>
    </row>
    <row r="47" spans="1:9" x14ac:dyDescent="0.25">
      <c r="A47" s="120">
        <v>409</v>
      </c>
      <c r="B47" s="29" t="s">
        <v>670</v>
      </c>
      <c r="C47" s="100">
        <v>13</v>
      </c>
      <c r="D47" s="16">
        <v>1</v>
      </c>
      <c r="E47" s="16">
        <f t="shared" si="9"/>
        <v>1</v>
      </c>
      <c r="F47" s="16">
        <f t="shared" si="10"/>
        <v>1</v>
      </c>
      <c r="G47" s="19" t="s">
        <v>676</v>
      </c>
      <c r="H47" s="51" t="s">
        <v>415</v>
      </c>
      <c r="I47" s="15" t="s">
        <v>677</v>
      </c>
    </row>
    <row r="48" spans="1:9" x14ac:dyDescent="0.25">
      <c r="A48" s="120">
        <v>409</v>
      </c>
      <c r="B48" s="29" t="s">
        <v>670</v>
      </c>
      <c r="C48" s="100">
        <v>12</v>
      </c>
      <c r="D48" s="16">
        <v>1</v>
      </c>
      <c r="E48" s="16">
        <f t="shared" si="9"/>
        <v>1</v>
      </c>
      <c r="F48" s="16">
        <f t="shared" si="10"/>
        <v>1</v>
      </c>
      <c r="G48" s="19" t="s">
        <v>675</v>
      </c>
      <c r="H48" s="51" t="s">
        <v>415</v>
      </c>
      <c r="I48" s="15" t="s">
        <v>677</v>
      </c>
    </row>
    <row r="49" spans="1:9" x14ac:dyDescent="0.25">
      <c r="A49" s="120">
        <v>409</v>
      </c>
      <c r="B49" s="29" t="s">
        <v>670</v>
      </c>
      <c r="C49" s="100">
        <v>11</v>
      </c>
      <c r="D49" s="16">
        <v>1</v>
      </c>
      <c r="E49" s="16">
        <f t="shared" si="9"/>
        <v>1</v>
      </c>
      <c r="F49" s="16">
        <f t="shared" si="10"/>
        <v>1</v>
      </c>
      <c r="G49" s="19" t="s">
        <v>675</v>
      </c>
      <c r="H49" s="51" t="s">
        <v>415</v>
      </c>
      <c r="I49" s="15" t="s">
        <v>677</v>
      </c>
    </row>
    <row r="50" spans="1:9" x14ac:dyDescent="0.25">
      <c r="A50" s="120">
        <v>409</v>
      </c>
      <c r="B50" s="29" t="s">
        <v>681</v>
      </c>
      <c r="C50" s="100">
        <v>10</v>
      </c>
      <c r="D50" s="16">
        <v>1</v>
      </c>
      <c r="E50" s="16">
        <f t="shared" si="9"/>
        <v>1</v>
      </c>
      <c r="F50" s="16">
        <f t="shared" si="10"/>
        <v>1</v>
      </c>
      <c r="G50" s="19" t="s">
        <v>675</v>
      </c>
      <c r="H50" s="51" t="s">
        <v>415</v>
      </c>
      <c r="I50" s="15" t="s">
        <v>677</v>
      </c>
    </row>
    <row r="51" spans="1:9" x14ac:dyDescent="0.25">
      <c r="A51" s="120">
        <v>409</v>
      </c>
      <c r="B51" s="29" t="s">
        <v>695</v>
      </c>
      <c r="C51" s="100">
        <v>9</v>
      </c>
      <c r="D51" s="16">
        <v>1</v>
      </c>
      <c r="E51" s="16">
        <f t="shared" si="9"/>
        <v>1</v>
      </c>
      <c r="F51" s="16">
        <f t="shared" si="10"/>
        <v>1</v>
      </c>
      <c r="G51" s="19" t="s">
        <v>675</v>
      </c>
      <c r="H51" s="51" t="s">
        <v>415</v>
      </c>
      <c r="I51" s="15" t="s">
        <v>677</v>
      </c>
    </row>
    <row r="52" spans="1:9" x14ac:dyDescent="0.25">
      <c r="A52" s="120">
        <v>409</v>
      </c>
      <c r="B52" s="29" t="s">
        <v>682</v>
      </c>
      <c r="C52" s="100">
        <v>8</v>
      </c>
      <c r="D52" s="16">
        <v>1</v>
      </c>
      <c r="E52" s="16">
        <f t="shared" si="9"/>
        <v>1</v>
      </c>
      <c r="F52" s="16">
        <f t="shared" si="10"/>
        <v>1</v>
      </c>
      <c r="G52" s="19" t="s">
        <v>675</v>
      </c>
      <c r="H52" s="51" t="s">
        <v>415</v>
      </c>
      <c r="I52" s="15" t="s">
        <v>677</v>
      </c>
    </row>
    <row r="53" spans="1:9" x14ac:dyDescent="0.25">
      <c r="A53" s="120">
        <v>409</v>
      </c>
      <c r="B53" s="29" t="s">
        <v>683</v>
      </c>
      <c r="C53" s="100">
        <v>7</v>
      </c>
      <c r="D53" s="16">
        <v>1</v>
      </c>
      <c r="E53" s="16">
        <f t="shared" si="9"/>
        <v>1</v>
      </c>
      <c r="F53" s="16">
        <f t="shared" si="10"/>
        <v>1</v>
      </c>
      <c r="G53" s="19" t="s">
        <v>675</v>
      </c>
      <c r="H53" s="51" t="s">
        <v>415</v>
      </c>
      <c r="I53" s="15" t="s">
        <v>677</v>
      </c>
    </row>
    <row r="54" spans="1:9" x14ac:dyDescent="0.25">
      <c r="A54" s="120">
        <v>409</v>
      </c>
      <c r="B54" s="29" t="s">
        <v>670</v>
      </c>
      <c r="C54" s="100">
        <v>6</v>
      </c>
      <c r="D54" s="16">
        <v>1</v>
      </c>
      <c r="E54" s="16">
        <f t="shared" si="9"/>
        <v>1</v>
      </c>
      <c r="F54" s="16">
        <f t="shared" si="10"/>
        <v>1</v>
      </c>
      <c r="G54" s="19" t="s">
        <v>675</v>
      </c>
      <c r="H54" s="51" t="s">
        <v>415</v>
      </c>
      <c r="I54" s="15" t="s">
        <v>677</v>
      </c>
    </row>
    <row r="55" spans="1:9" x14ac:dyDescent="0.25">
      <c r="A55" s="120">
        <v>409</v>
      </c>
      <c r="B55" s="29" t="s">
        <v>684</v>
      </c>
      <c r="C55" s="100">
        <v>5</v>
      </c>
      <c r="D55" s="16">
        <v>1</v>
      </c>
      <c r="E55" s="16">
        <f t="shared" si="9"/>
        <v>1</v>
      </c>
      <c r="F55" s="16">
        <f t="shared" si="10"/>
        <v>1</v>
      </c>
      <c r="G55" s="19" t="s">
        <v>675</v>
      </c>
      <c r="H55" s="51" t="s">
        <v>415</v>
      </c>
      <c r="I55" s="15" t="s">
        <v>677</v>
      </c>
    </row>
    <row r="56" spans="1:9" x14ac:dyDescent="0.25">
      <c r="A56" s="120">
        <v>409</v>
      </c>
      <c r="B56" s="29" t="s">
        <v>670</v>
      </c>
      <c r="C56" s="100">
        <v>4</v>
      </c>
      <c r="D56" s="16">
        <v>1</v>
      </c>
      <c r="E56" s="16">
        <f t="shared" si="9"/>
        <v>1</v>
      </c>
      <c r="F56" s="16">
        <f t="shared" si="10"/>
        <v>1</v>
      </c>
      <c r="G56" s="19" t="s">
        <v>675</v>
      </c>
      <c r="H56" s="51" t="s">
        <v>415</v>
      </c>
      <c r="I56" s="15" t="s">
        <v>677</v>
      </c>
    </row>
    <row r="57" spans="1:9" x14ac:dyDescent="0.25">
      <c r="A57" s="120">
        <v>409</v>
      </c>
      <c r="B57" s="29" t="s">
        <v>670</v>
      </c>
      <c r="C57" s="100">
        <v>3</v>
      </c>
      <c r="D57" s="16">
        <v>1</v>
      </c>
      <c r="E57" s="16">
        <f t="shared" si="9"/>
        <v>1</v>
      </c>
      <c r="F57" s="16">
        <f t="shared" si="10"/>
        <v>1</v>
      </c>
      <c r="G57" s="19" t="s">
        <v>675</v>
      </c>
      <c r="H57" s="51" t="s">
        <v>415</v>
      </c>
      <c r="I57" s="15" t="s">
        <v>677</v>
      </c>
    </row>
    <row r="58" spans="1:9" x14ac:dyDescent="0.25">
      <c r="A58" s="120">
        <v>409</v>
      </c>
      <c r="B58" s="29" t="s">
        <v>685</v>
      </c>
      <c r="C58" s="100">
        <v>2</v>
      </c>
      <c r="D58" s="16">
        <v>1</v>
      </c>
      <c r="E58" s="16">
        <f t="shared" si="9"/>
        <v>1</v>
      </c>
      <c r="F58" s="16">
        <f t="shared" si="10"/>
        <v>1</v>
      </c>
      <c r="G58" s="19" t="s">
        <v>675</v>
      </c>
      <c r="H58" s="51" t="s">
        <v>415</v>
      </c>
      <c r="I58" s="15" t="s">
        <v>677</v>
      </c>
    </row>
    <row r="59" spans="1:9" x14ac:dyDescent="0.25">
      <c r="A59" s="120">
        <v>409</v>
      </c>
      <c r="B59" s="29" t="s">
        <v>694</v>
      </c>
      <c r="C59" s="100">
        <v>1</v>
      </c>
      <c r="D59" s="16">
        <v>1</v>
      </c>
      <c r="E59" s="16">
        <f t="shared" si="9"/>
        <v>1</v>
      </c>
      <c r="F59" s="16">
        <f t="shared" si="10"/>
        <v>1</v>
      </c>
      <c r="G59" s="19" t="s">
        <v>675</v>
      </c>
      <c r="H59" s="51" t="s">
        <v>415</v>
      </c>
      <c r="I59" s="15" t="s">
        <v>677</v>
      </c>
    </row>
    <row r="60" spans="1:9" ht="17.25" thickBot="1" x14ac:dyDescent="0.3">
      <c r="A60" s="122">
        <v>409</v>
      </c>
      <c r="B60" s="84" t="s">
        <v>674</v>
      </c>
      <c r="C60" s="64">
        <v>0</v>
      </c>
      <c r="D60" s="8">
        <v>1</v>
      </c>
      <c r="E60" s="66">
        <f t="shared" si="7"/>
        <v>1</v>
      </c>
      <c r="F60" s="66">
        <f t="shared" si="8"/>
        <v>1</v>
      </c>
      <c r="G60" s="19" t="s">
        <v>675</v>
      </c>
      <c r="H60" s="101" t="s">
        <v>415</v>
      </c>
      <c r="I60" s="46" t="s">
        <v>386</v>
      </c>
    </row>
    <row r="61" spans="1:9" x14ac:dyDescent="0.25">
      <c r="A61" s="151" t="s">
        <v>351</v>
      </c>
      <c r="B61" s="152" t="s">
        <v>26</v>
      </c>
      <c r="C61" s="102" t="s">
        <v>363</v>
      </c>
      <c r="D61" s="103">
        <v>8</v>
      </c>
      <c r="E61" s="103">
        <f t="shared" ref="E61:E62" si="11">QUOTIENT(D61+7,8)</f>
        <v>1</v>
      </c>
      <c r="F61" s="103">
        <f t="shared" ref="F61:F62" si="12">QUOTIENT(E61+1,2)</f>
        <v>1</v>
      </c>
      <c r="G61" s="104" t="s">
        <v>25</v>
      </c>
      <c r="H61" s="154" t="s">
        <v>672</v>
      </c>
      <c r="I61" s="155" t="s">
        <v>387</v>
      </c>
    </row>
    <row r="62" spans="1:9" x14ac:dyDescent="0.25">
      <c r="A62" s="120" t="s">
        <v>671</v>
      </c>
      <c r="B62" s="29" t="s">
        <v>686</v>
      </c>
      <c r="C62" s="64">
        <v>7</v>
      </c>
      <c r="D62" s="16">
        <v>1</v>
      </c>
      <c r="E62" s="16">
        <f t="shared" si="11"/>
        <v>1</v>
      </c>
      <c r="F62" s="16">
        <f t="shared" si="12"/>
        <v>1</v>
      </c>
      <c r="G62" s="19" t="s">
        <v>673</v>
      </c>
      <c r="H62" s="59" t="s">
        <v>672</v>
      </c>
      <c r="I62" s="19" t="s">
        <v>387</v>
      </c>
    </row>
    <row r="63" spans="1:9" x14ac:dyDescent="0.25">
      <c r="A63" s="120" t="s">
        <v>671</v>
      </c>
      <c r="B63" s="29" t="s">
        <v>687</v>
      </c>
      <c r="C63" s="64">
        <v>6</v>
      </c>
      <c r="D63" s="16">
        <v>1</v>
      </c>
      <c r="E63" s="16">
        <f t="shared" ref="E63:E68" si="13">QUOTIENT(D63+7,8)</f>
        <v>1</v>
      </c>
      <c r="F63" s="16">
        <f t="shared" ref="F63:F68" si="14">QUOTIENT(E63+1,2)</f>
        <v>1</v>
      </c>
      <c r="G63" s="19" t="s">
        <v>673</v>
      </c>
      <c r="H63" s="59" t="s">
        <v>672</v>
      </c>
      <c r="I63" s="19" t="s">
        <v>387</v>
      </c>
    </row>
    <row r="64" spans="1:9" x14ac:dyDescent="0.25">
      <c r="A64" s="120" t="s">
        <v>671</v>
      </c>
      <c r="B64" s="29" t="s">
        <v>688</v>
      </c>
      <c r="C64" s="64">
        <v>5</v>
      </c>
      <c r="D64" s="16">
        <v>1</v>
      </c>
      <c r="E64" s="16">
        <f t="shared" si="13"/>
        <v>1</v>
      </c>
      <c r="F64" s="16">
        <f t="shared" si="14"/>
        <v>1</v>
      </c>
      <c r="G64" s="19" t="s">
        <v>673</v>
      </c>
      <c r="H64" s="59" t="s">
        <v>672</v>
      </c>
      <c r="I64" s="19" t="s">
        <v>387</v>
      </c>
    </row>
    <row r="65" spans="1:9" x14ac:dyDescent="0.25">
      <c r="A65" s="120" t="s">
        <v>671</v>
      </c>
      <c r="B65" s="29" t="s">
        <v>689</v>
      </c>
      <c r="C65" s="64">
        <v>4</v>
      </c>
      <c r="D65" s="16">
        <v>1</v>
      </c>
      <c r="E65" s="16">
        <f t="shared" si="13"/>
        <v>1</v>
      </c>
      <c r="F65" s="16">
        <f t="shared" si="14"/>
        <v>1</v>
      </c>
      <c r="G65" s="19" t="s">
        <v>673</v>
      </c>
      <c r="H65" s="59" t="s">
        <v>672</v>
      </c>
      <c r="I65" s="19" t="s">
        <v>387</v>
      </c>
    </row>
    <row r="66" spans="1:9" x14ac:dyDescent="0.25">
      <c r="A66" s="120" t="s">
        <v>671</v>
      </c>
      <c r="B66" s="29" t="s">
        <v>690</v>
      </c>
      <c r="C66" s="64">
        <v>3</v>
      </c>
      <c r="D66" s="16">
        <v>1</v>
      </c>
      <c r="E66" s="16">
        <f t="shared" si="13"/>
        <v>1</v>
      </c>
      <c r="F66" s="16">
        <f t="shared" si="14"/>
        <v>1</v>
      </c>
      <c r="G66" s="19" t="s">
        <v>673</v>
      </c>
      <c r="H66" s="59" t="s">
        <v>672</v>
      </c>
      <c r="I66" s="19" t="s">
        <v>387</v>
      </c>
    </row>
    <row r="67" spans="1:9" x14ac:dyDescent="0.25">
      <c r="A67" s="120" t="s">
        <v>671</v>
      </c>
      <c r="B67" s="29" t="s">
        <v>691</v>
      </c>
      <c r="C67" s="64">
        <v>2</v>
      </c>
      <c r="D67" s="16">
        <v>1</v>
      </c>
      <c r="E67" s="16">
        <f t="shared" si="13"/>
        <v>1</v>
      </c>
      <c r="F67" s="16">
        <f t="shared" si="14"/>
        <v>1</v>
      </c>
      <c r="G67" s="19" t="s">
        <v>673</v>
      </c>
      <c r="H67" s="59" t="s">
        <v>672</v>
      </c>
      <c r="I67" s="19" t="s">
        <v>387</v>
      </c>
    </row>
    <row r="68" spans="1:9" x14ac:dyDescent="0.25">
      <c r="A68" s="120" t="s">
        <v>671</v>
      </c>
      <c r="B68" s="29" t="s">
        <v>692</v>
      </c>
      <c r="C68" s="64">
        <v>1</v>
      </c>
      <c r="D68" s="16">
        <v>1</v>
      </c>
      <c r="E68" s="16">
        <f t="shared" si="13"/>
        <v>1</v>
      </c>
      <c r="F68" s="16">
        <f t="shared" si="14"/>
        <v>1</v>
      </c>
      <c r="G68" s="19" t="s">
        <v>673</v>
      </c>
      <c r="H68" s="59" t="s">
        <v>672</v>
      </c>
      <c r="I68" s="19" t="s">
        <v>387</v>
      </c>
    </row>
    <row r="69" spans="1:9" ht="17.25" thickBot="1" x14ac:dyDescent="0.3">
      <c r="A69" s="122" t="s">
        <v>351</v>
      </c>
      <c r="B69" s="153" t="s">
        <v>693</v>
      </c>
      <c r="C69" s="95">
        <v>0</v>
      </c>
      <c r="D69" s="66">
        <v>1</v>
      </c>
      <c r="E69" s="66">
        <f t="shared" si="7"/>
        <v>1</v>
      </c>
      <c r="F69" s="66">
        <f t="shared" si="8"/>
        <v>1</v>
      </c>
      <c r="G69" s="46" t="s">
        <v>673</v>
      </c>
      <c r="H69" s="101" t="s">
        <v>415</v>
      </c>
      <c r="I69" s="46" t="s">
        <v>387</v>
      </c>
    </row>
    <row r="70" spans="1:9" ht="47.25" x14ac:dyDescent="0.25">
      <c r="A70" s="142" t="s">
        <v>352</v>
      </c>
      <c r="B70" s="43" t="s">
        <v>696</v>
      </c>
      <c r="C70" s="64">
        <v>15</v>
      </c>
      <c r="D70" s="8">
        <v>1</v>
      </c>
      <c r="E70" s="8">
        <f t="shared" ref="E70" si="15">QUOTIENT(D70+7,8)</f>
        <v>1</v>
      </c>
      <c r="F70" s="8">
        <f t="shared" ref="F70" si="16">QUOTIENT(E70+1,2)</f>
        <v>1</v>
      </c>
      <c r="G70" s="44" t="s">
        <v>697</v>
      </c>
      <c r="H70" s="51" t="s">
        <v>417</v>
      </c>
      <c r="I70" s="15" t="s">
        <v>388</v>
      </c>
    </row>
    <row r="71" spans="1:9" x14ac:dyDescent="0.25">
      <c r="A71" s="120" t="s">
        <v>352</v>
      </c>
      <c r="B71" s="77" t="s">
        <v>90</v>
      </c>
      <c r="C71" s="64">
        <v>14</v>
      </c>
      <c r="D71" s="8">
        <v>1</v>
      </c>
      <c r="E71" s="16">
        <f t="shared" si="7"/>
        <v>1</v>
      </c>
      <c r="F71" s="8">
        <f t="shared" si="8"/>
        <v>1</v>
      </c>
      <c r="G71" s="90" t="s">
        <v>91</v>
      </c>
      <c r="H71" s="59" t="s">
        <v>416</v>
      </c>
      <c r="I71" s="15" t="s">
        <v>388</v>
      </c>
    </row>
    <row r="72" spans="1:9" x14ac:dyDescent="0.25">
      <c r="A72" s="120" t="s">
        <v>352</v>
      </c>
      <c r="B72" s="77" t="s">
        <v>92</v>
      </c>
      <c r="C72" s="64">
        <v>13</v>
      </c>
      <c r="D72" s="8">
        <v>1</v>
      </c>
      <c r="E72" s="16">
        <f t="shared" si="7"/>
        <v>1</v>
      </c>
      <c r="F72" s="8">
        <f t="shared" si="8"/>
        <v>1</v>
      </c>
      <c r="G72" s="90" t="s">
        <v>93</v>
      </c>
      <c r="H72" s="59" t="s">
        <v>416</v>
      </c>
      <c r="I72" s="15" t="s">
        <v>388</v>
      </c>
    </row>
    <row r="73" spans="1:9" x14ac:dyDescent="0.25">
      <c r="A73" s="120" t="s">
        <v>352</v>
      </c>
      <c r="B73" s="77" t="s">
        <v>26</v>
      </c>
      <c r="C73" s="64">
        <v>12</v>
      </c>
      <c r="D73" s="8">
        <v>1</v>
      </c>
      <c r="E73" s="16">
        <f t="shared" si="7"/>
        <v>1</v>
      </c>
      <c r="F73" s="8">
        <f t="shared" si="8"/>
        <v>1</v>
      </c>
      <c r="G73" s="90" t="s">
        <v>25</v>
      </c>
      <c r="H73" s="59"/>
      <c r="I73" s="15" t="s">
        <v>388</v>
      </c>
    </row>
    <row r="74" spans="1:9" ht="17.25" thickBot="1" x14ac:dyDescent="0.3">
      <c r="A74" s="122" t="s">
        <v>352</v>
      </c>
      <c r="B74" s="82" t="s">
        <v>94</v>
      </c>
      <c r="C74" s="97" t="s">
        <v>364</v>
      </c>
      <c r="D74" s="66">
        <v>12</v>
      </c>
      <c r="E74" s="66">
        <f t="shared" si="7"/>
        <v>2</v>
      </c>
      <c r="F74" s="93">
        <f t="shared" si="8"/>
        <v>1</v>
      </c>
      <c r="G74" s="87" t="s">
        <v>95</v>
      </c>
      <c r="H74" s="101" t="s">
        <v>416</v>
      </c>
      <c r="I74" s="41" t="s">
        <v>388</v>
      </c>
    </row>
    <row r="75" spans="1:9" ht="17.25" thickBot="1" x14ac:dyDescent="0.3">
      <c r="A75" s="150" t="s">
        <v>353</v>
      </c>
      <c r="B75" s="85" t="s">
        <v>96</v>
      </c>
      <c r="C75" s="67" t="s">
        <v>334</v>
      </c>
      <c r="D75" s="68">
        <v>16</v>
      </c>
      <c r="E75" s="68">
        <f t="shared" si="7"/>
        <v>2</v>
      </c>
      <c r="F75" s="68">
        <f t="shared" si="8"/>
        <v>1</v>
      </c>
      <c r="G75" s="39" t="s">
        <v>97</v>
      </c>
      <c r="H75" s="50" t="s">
        <v>416</v>
      </c>
      <c r="I75" s="42" t="s">
        <v>389</v>
      </c>
    </row>
    <row r="76" spans="1:9" ht="47.25" x14ac:dyDescent="0.25">
      <c r="A76" s="142" t="s">
        <v>354</v>
      </c>
      <c r="B76" s="43" t="s">
        <v>698</v>
      </c>
      <c r="C76" s="64">
        <v>15</v>
      </c>
      <c r="D76" s="8">
        <v>1</v>
      </c>
      <c r="E76" s="8">
        <f t="shared" si="7"/>
        <v>1</v>
      </c>
      <c r="F76" s="8">
        <f t="shared" si="8"/>
        <v>1</v>
      </c>
      <c r="G76" s="88" t="s">
        <v>699</v>
      </c>
      <c r="H76" s="51" t="s">
        <v>416</v>
      </c>
      <c r="I76" s="15" t="s">
        <v>390</v>
      </c>
    </row>
    <row r="77" spans="1:9" x14ac:dyDescent="0.25">
      <c r="A77" s="120" t="s">
        <v>354</v>
      </c>
      <c r="B77" s="77" t="s">
        <v>98</v>
      </c>
      <c r="C77" s="64">
        <v>14</v>
      </c>
      <c r="D77" s="8">
        <v>1</v>
      </c>
      <c r="E77" s="16">
        <f t="shared" si="7"/>
        <v>1</v>
      </c>
      <c r="F77" s="8">
        <f t="shared" si="8"/>
        <v>1</v>
      </c>
      <c r="G77" s="91" t="s">
        <v>99</v>
      </c>
      <c r="H77" s="59" t="s">
        <v>416</v>
      </c>
      <c r="I77" s="15" t="s">
        <v>390</v>
      </c>
    </row>
    <row r="78" spans="1:9" x14ac:dyDescent="0.25">
      <c r="A78" s="120" t="s">
        <v>354</v>
      </c>
      <c r="B78" s="77" t="s">
        <v>100</v>
      </c>
      <c r="C78" s="64">
        <v>13</v>
      </c>
      <c r="D78" s="8">
        <v>1</v>
      </c>
      <c r="E78" s="16">
        <f t="shared" si="7"/>
        <v>1</v>
      </c>
      <c r="F78" s="8">
        <f t="shared" si="8"/>
        <v>1</v>
      </c>
      <c r="G78" s="89" t="s">
        <v>101</v>
      </c>
      <c r="H78" s="59" t="s">
        <v>416</v>
      </c>
      <c r="I78" s="15" t="s">
        <v>390</v>
      </c>
    </row>
    <row r="79" spans="1:9" x14ac:dyDescent="0.25">
      <c r="A79" s="120" t="s">
        <v>354</v>
      </c>
      <c r="B79" s="77" t="s">
        <v>26</v>
      </c>
      <c r="C79" s="100">
        <v>12</v>
      </c>
      <c r="D79" s="16">
        <v>1</v>
      </c>
      <c r="E79" s="16">
        <f t="shared" si="7"/>
        <v>1</v>
      </c>
      <c r="F79" s="8">
        <f t="shared" si="8"/>
        <v>1</v>
      </c>
      <c r="G79" s="90" t="s">
        <v>25</v>
      </c>
      <c r="H79" s="59"/>
      <c r="I79" s="15" t="s">
        <v>390</v>
      </c>
    </row>
    <row r="80" spans="1:9" ht="17.25" thickBot="1" x14ac:dyDescent="0.3">
      <c r="A80" s="122" t="s">
        <v>354</v>
      </c>
      <c r="B80" s="82" t="s">
        <v>102</v>
      </c>
      <c r="C80" s="97" t="s">
        <v>364</v>
      </c>
      <c r="D80" s="66">
        <v>12</v>
      </c>
      <c r="E80" s="66">
        <f t="shared" si="7"/>
        <v>2</v>
      </c>
      <c r="F80" s="93">
        <f t="shared" si="8"/>
        <v>1</v>
      </c>
      <c r="G80" s="87" t="s">
        <v>103</v>
      </c>
      <c r="H80" s="101" t="s">
        <v>416</v>
      </c>
      <c r="I80" s="41" t="s">
        <v>390</v>
      </c>
    </row>
    <row r="81" spans="1:9" ht="17.25" thickBot="1" x14ac:dyDescent="0.3">
      <c r="A81" s="150" t="s">
        <v>355</v>
      </c>
      <c r="B81" s="85" t="s">
        <v>104</v>
      </c>
      <c r="C81" s="67" t="s">
        <v>334</v>
      </c>
      <c r="D81" s="68">
        <v>16</v>
      </c>
      <c r="E81" s="68">
        <f t="shared" si="7"/>
        <v>2</v>
      </c>
      <c r="F81" s="68">
        <f t="shared" si="8"/>
        <v>1</v>
      </c>
      <c r="G81" s="39" t="s">
        <v>105</v>
      </c>
      <c r="H81" s="50" t="s">
        <v>416</v>
      </c>
      <c r="I81" s="42" t="s">
        <v>391</v>
      </c>
    </row>
    <row r="82" spans="1:9" ht="31.5" x14ac:dyDescent="0.25">
      <c r="A82" s="142" t="s">
        <v>356</v>
      </c>
      <c r="B82" s="7" t="s">
        <v>106</v>
      </c>
      <c r="C82" s="63" t="s">
        <v>363</v>
      </c>
      <c r="D82" s="8">
        <v>8</v>
      </c>
      <c r="E82" s="8">
        <f t="shared" si="7"/>
        <v>1</v>
      </c>
      <c r="F82" s="8">
        <f t="shared" si="8"/>
        <v>1</v>
      </c>
      <c r="G82" s="15" t="s">
        <v>107</v>
      </c>
      <c r="H82" s="51" t="s">
        <v>412</v>
      </c>
      <c r="I82" s="15" t="s">
        <v>392</v>
      </c>
    </row>
    <row r="83" spans="1:9" x14ac:dyDescent="0.25">
      <c r="A83" s="120" t="s">
        <v>356</v>
      </c>
      <c r="B83" s="29" t="s">
        <v>26</v>
      </c>
      <c r="C83" s="96" t="s">
        <v>365</v>
      </c>
      <c r="D83" s="16">
        <v>3</v>
      </c>
      <c r="E83" s="16">
        <f t="shared" si="7"/>
        <v>1</v>
      </c>
      <c r="F83" s="16">
        <f t="shared" si="8"/>
        <v>1</v>
      </c>
      <c r="G83" s="19" t="s">
        <v>26</v>
      </c>
      <c r="H83" s="59"/>
      <c r="I83" s="15" t="s">
        <v>392</v>
      </c>
    </row>
    <row r="84" spans="1:9" x14ac:dyDescent="0.25">
      <c r="A84" s="120" t="s">
        <v>356</v>
      </c>
      <c r="B84" s="29" t="s">
        <v>108</v>
      </c>
      <c r="C84" s="100">
        <v>4</v>
      </c>
      <c r="D84" s="16">
        <v>1</v>
      </c>
      <c r="E84" s="16">
        <f t="shared" si="7"/>
        <v>1</v>
      </c>
      <c r="F84" s="16">
        <f t="shared" si="8"/>
        <v>1</v>
      </c>
      <c r="G84" s="19" t="s">
        <v>109</v>
      </c>
      <c r="H84" s="59" t="s">
        <v>412</v>
      </c>
      <c r="I84" s="15" t="s">
        <v>392</v>
      </c>
    </row>
    <row r="85" spans="1:9" ht="17.25" thickBot="1" x14ac:dyDescent="0.3">
      <c r="A85" s="122" t="s">
        <v>356</v>
      </c>
      <c r="B85" s="37" t="s">
        <v>110</v>
      </c>
      <c r="C85" s="97" t="s">
        <v>340</v>
      </c>
      <c r="D85" s="66">
        <v>4</v>
      </c>
      <c r="E85" s="66">
        <f t="shared" si="7"/>
        <v>1</v>
      </c>
      <c r="F85" s="66">
        <f t="shared" si="8"/>
        <v>1</v>
      </c>
      <c r="G85" s="46" t="s">
        <v>111</v>
      </c>
      <c r="H85" s="101" t="s">
        <v>412</v>
      </c>
      <c r="I85" s="46" t="s">
        <v>392</v>
      </c>
    </row>
    <row r="86" spans="1:9" ht="17.25" thickBot="1" x14ac:dyDescent="0.3">
      <c r="A86" s="150">
        <v>410</v>
      </c>
      <c r="B86" s="40" t="s">
        <v>26</v>
      </c>
      <c r="C86" s="67" t="s">
        <v>334</v>
      </c>
      <c r="D86" s="68">
        <v>16</v>
      </c>
      <c r="E86" s="68">
        <f t="shared" si="7"/>
        <v>2</v>
      </c>
      <c r="F86" s="68">
        <f t="shared" si="8"/>
        <v>1</v>
      </c>
      <c r="G86" s="42" t="s">
        <v>26</v>
      </c>
      <c r="H86" s="50"/>
      <c r="I86" s="42" t="s">
        <v>393</v>
      </c>
    </row>
    <row r="87" spans="1:9" ht="78.75" x14ac:dyDescent="0.25">
      <c r="A87" s="142">
        <v>411</v>
      </c>
      <c r="B87" s="7" t="s">
        <v>112</v>
      </c>
      <c r="C87" s="64">
        <v>15</v>
      </c>
      <c r="D87" s="8">
        <v>1</v>
      </c>
      <c r="E87" s="8">
        <f t="shared" si="7"/>
        <v>1</v>
      </c>
      <c r="F87" s="8">
        <f t="shared" si="8"/>
        <v>1</v>
      </c>
      <c r="G87" s="15" t="s">
        <v>113</v>
      </c>
      <c r="H87" s="51" t="s">
        <v>409</v>
      </c>
      <c r="I87" s="15" t="s">
        <v>394</v>
      </c>
    </row>
    <row r="88" spans="1:9" x14ac:dyDescent="0.25">
      <c r="A88" s="120">
        <v>411</v>
      </c>
      <c r="B88" s="29" t="s">
        <v>114</v>
      </c>
      <c r="C88" s="100">
        <v>14</v>
      </c>
      <c r="D88" s="16">
        <v>1</v>
      </c>
      <c r="E88" s="16">
        <f t="shared" si="7"/>
        <v>1</v>
      </c>
      <c r="F88" s="16">
        <f t="shared" si="8"/>
        <v>1</v>
      </c>
      <c r="G88" s="19" t="s">
        <v>613</v>
      </c>
      <c r="H88" s="59" t="s">
        <v>409</v>
      </c>
      <c r="I88" s="15" t="s">
        <v>394</v>
      </c>
    </row>
    <row r="89" spans="1:9" ht="78.75" x14ac:dyDescent="0.25">
      <c r="A89" s="120">
        <v>411</v>
      </c>
      <c r="B89" s="29" t="s">
        <v>115</v>
      </c>
      <c r="C89" s="96" t="s">
        <v>366</v>
      </c>
      <c r="D89" s="16">
        <v>2</v>
      </c>
      <c r="E89" s="16">
        <f t="shared" si="7"/>
        <v>1</v>
      </c>
      <c r="F89" s="16">
        <f t="shared" si="8"/>
        <v>1</v>
      </c>
      <c r="G89" s="19" t="s">
        <v>116</v>
      </c>
      <c r="H89" s="59" t="s">
        <v>409</v>
      </c>
      <c r="I89" s="15" t="s">
        <v>394</v>
      </c>
    </row>
    <row r="90" spans="1:9" x14ac:dyDescent="0.25">
      <c r="A90" s="120">
        <v>411</v>
      </c>
      <c r="B90" s="29" t="s">
        <v>117</v>
      </c>
      <c r="C90" s="100">
        <v>11</v>
      </c>
      <c r="D90" s="16">
        <v>1</v>
      </c>
      <c r="E90" s="16">
        <f t="shared" si="7"/>
        <v>1</v>
      </c>
      <c r="F90" s="16">
        <f t="shared" si="8"/>
        <v>1</v>
      </c>
      <c r="G90" s="19" t="s">
        <v>614</v>
      </c>
      <c r="H90" s="59" t="s">
        <v>409</v>
      </c>
      <c r="I90" s="15" t="s">
        <v>394</v>
      </c>
    </row>
    <row r="91" spans="1:9" ht="78.75" x14ac:dyDescent="0.25">
      <c r="A91" s="120">
        <v>411</v>
      </c>
      <c r="B91" s="29" t="s">
        <v>118</v>
      </c>
      <c r="C91" s="96" t="s">
        <v>367</v>
      </c>
      <c r="D91" s="16">
        <v>2</v>
      </c>
      <c r="E91" s="16">
        <f t="shared" si="7"/>
        <v>1</v>
      </c>
      <c r="F91" s="16">
        <f t="shared" si="8"/>
        <v>1</v>
      </c>
      <c r="G91" s="19" t="s">
        <v>119</v>
      </c>
      <c r="H91" s="59" t="s">
        <v>409</v>
      </c>
      <c r="I91" s="15" t="s">
        <v>394</v>
      </c>
    </row>
    <row r="92" spans="1:9" x14ac:dyDescent="0.25">
      <c r="A92" s="120">
        <v>411</v>
      </c>
      <c r="B92" s="29" t="s">
        <v>120</v>
      </c>
      <c r="C92" s="100">
        <v>8</v>
      </c>
      <c r="D92" s="16">
        <v>1</v>
      </c>
      <c r="E92" s="16">
        <f t="shared" si="7"/>
        <v>1</v>
      </c>
      <c r="F92" s="16">
        <f t="shared" si="8"/>
        <v>1</v>
      </c>
      <c r="G92" s="19" t="s">
        <v>615</v>
      </c>
      <c r="H92" s="59" t="s">
        <v>409</v>
      </c>
      <c r="I92" s="15" t="s">
        <v>394</v>
      </c>
    </row>
    <row r="93" spans="1:9" ht="78.75" x14ac:dyDescent="0.25">
      <c r="A93" s="120">
        <v>411</v>
      </c>
      <c r="B93" s="29" t="s">
        <v>121</v>
      </c>
      <c r="C93" s="96" t="s">
        <v>344</v>
      </c>
      <c r="D93" s="16">
        <v>2</v>
      </c>
      <c r="E93" s="16">
        <f t="shared" si="7"/>
        <v>1</v>
      </c>
      <c r="F93" s="16">
        <f t="shared" si="8"/>
        <v>1</v>
      </c>
      <c r="G93" s="19" t="s">
        <v>122</v>
      </c>
      <c r="H93" s="59" t="s">
        <v>409</v>
      </c>
      <c r="I93" s="15" t="s">
        <v>394</v>
      </c>
    </row>
    <row r="94" spans="1:9" x14ac:dyDescent="0.25">
      <c r="A94" s="120">
        <v>411</v>
      </c>
      <c r="B94" s="29" t="s">
        <v>123</v>
      </c>
      <c r="C94" s="100">
        <v>5</v>
      </c>
      <c r="D94" s="16">
        <v>1</v>
      </c>
      <c r="E94" s="16">
        <f t="shared" si="7"/>
        <v>1</v>
      </c>
      <c r="F94" s="16">
        <f t="shared" si="8"/>
        <v>1</v>
      </c>
      <c r="G94" s="19" t="s">
        <v>616</v>
      </c>
      <c r="H94" s="59" t="s">
        <v>409</v>
      </c>
      <c r="I94" s="15" t="s">
        <v>394</v>
      </c>
    </row>
    <row r="95" spans="1:9" ht="78.75" x14ac:dyDescent="0.25">
      <c r="A95" s="120">
        <v>411</v>
      </c>
      <c r="B95" s="29" t="s">
        <v>124</v>
      </c>
      <c r="C95" s="96" t="s">
        <v>368</v>
      </c>
      <c r="D95" s="16">
        <v>2</v>
      </c>
      <c r="E95" s="16">
        <f t="shared" si="7"/>
        <v>1</v>
      </c>
      <c r="F95" s="16">
        <f t="shared" si="8"/>
        <v>1</v>
      </c>
      <c r="G95" s="19" t="s">
        <v>125</v>
      </c>
      <c r="H95" s="59" t="s">
        <v>409</v>
      </c>
      <c r="I95" s="15" t="s">
        <v>394</v>
      </c>
    </row>
    <row r="96" spans="1:9" x14ac:dyDescent="0.25">
      <c r="A96" s="120">
        <v>411</v>
      </c>
      <c r="B96" s="29" t="s">
        <v>126</v>
      </c>
      <c r="C96" s="100">
        <v>2</v>
      </c>
      <c r="D96" s="16">
        <v>1</v>
      </c>
      <c r="E96" s="16">
        <f t="shared" si="7"/>
        <v>1</v>
      </c>
      <c r="F96" s="16">
        <f t="shared" si="8"/>
        <v>1</v>
      </c>
      <c r="G96" s="19" t="s">
        <v>617</v>
      </c>
      <c r="H96" s="59" t="s">
        <v>409</v>
      </c>
      <c r="I96" s="15" t="s">
        <v>394</v>
      </c>
    </row>
    <row r="97" spans="1:9" ht="79.5" thickBot="1" x14ac:dyDescent="0.3">
      <c r="A97" s="122">
        <v>411</v>
      </c>
      <c r="B97" s="37" t="s">
        <v>127</v>
      </c>
      <c r="C97" s="97" t="s">
        <v>369</v>
      </c>
      <c r="D97" s="66">
        <v>2</v>
      </c>
      <c r="E97" s="66">
        <f t="shared" si="7"/>
        <v>1</v>
      </c>
      <c r="F97" s="66">
        <f t="shared" si="8"/>
        <v>1</v>
      </c>
      <c r="G97" s="46" t="s">
        <v>128</v>
      </c>
      <c r="H97" s="101" t="s">
        <v>409</v>
      </c>
      <c r="I97" s="46" t="s">
        <v>394</v>
      </c>
    </row>
    <row r="98" spans="1:9" ht="78.75" x14ac:dyDescent="0.25">
      <c r="A98" s="142">
        <v>412</v>
      </c>
      <c r="B98" s="7" t="s">
        <v>129</v>
      </c>
      <c r="C98" s="63" t="s">
        <v>370</v>
      </c>
      <c r="D98" s="8">
        <v>2</v>
      </c>
      <c r="E98" s="8">
        <f t="shared" si="7"/>
        <v>1</v>
      </c>
      <c r="F98" s="8">
        <f t="shared" si="8"/>
        <v>1</v>
      </c>
      <c r="G98" s="15" t="s">
        <v>130</v>
      </c>
      <c r="H98" s="51" t="s">
        <v>409</v>
      </c>
      <c r="I98" s="15" t="s">
        <v>395</v>
      </c>
    </row>
    <row r="99" spans="1:9" x14ac:dyDescent="0.25">
      <c r="A99" s="120">
        <v>412</v>
      </c>
      <c r="B99" s="29" t="s">
        <v>131</v>
      </c>
      <c r="C99" s="100">
        <v>13</v>
      </c>
      <c r="D99" s="16">
        <v>1</v>
      </c>
      <c r="E99" s="16">
        <f t="shared" si="7"/>
        <v>1</v>
      </c>
      <c r="F99" s="16">
        <f t="shared" si="8"/>
        <v>1</v>
      </c>
      <c r="G99" s="19" t="s">
        <v>618</v>
      </c>
      <c r="H99" s="59" t="s">
        <v>409</v>
      </c>
      <c r="I99" s="15" t="s">
        <v>395</v>
      </c>
    </row>
    <row r="100" spans="1:9" ht="78.75" x14ac:dyDescent="0.25">
      <c r="A100" s="120">
        <v>412</v>
      </c>
      <c r="B100" s="29" t="s">
        <v>132</v>
      </c>
      <c r="C100" s="96" t="s">
        <v>371</v>
      </c>
      <c r="D100" s="16">
        <v>2</v>
      </c>
      <c r="E100" s="16">
        <f t="shared" si="7"/>
        <v>1</v>
      </c>
      <c r="F100" s="16">
        <f t="shared" si="8"/>
        <v>1</v>
      </c>
      <c r="G100" s="19" t="s">
        <v>133</v>
      </c>
      <c r="H100" s="59" t="s">
        <v>409</v>
      </c>
      <c r="I100" s="15" t="s">
        <v>395</v>
      </c>
    </row>
    <row r="101" spans="1:9" x14ac:dyDescent="0.25">
      <c r="A101" s="120">
        <v>412</v>
      </c>
      <c r="B101" s="29" t="s">
        <v>134</v>
      </c>
      <c r="C101" s="100">
        <v>10</v>
      </c>
      <c r="D101" s="16">
        <v>1</v>
      </c>
      <c r="E101" s="16">
        <f t="shared" si="7"/>
        <v>1</v>
      </c>
      <c r="F101" s="16">
        <f t="shared" si="8"/>
        <v>1</v>
      </c>
      <c r="G101" s="19" t="s">
        <v>619</v>
      </c>
      <c r="H101" s="59" t="s">
        <v>409</v>
      </c>
      <c r="I101" s="15" t="s">
        <v>395</v>
      </c>
    </row>
    <row r="102" spans="1:9" ht="78.75" x14ac:dyDescent="0.25">
      <c r="A102" s="120">
        <v>412</v>
      </c>
      <c r="B102" s="29" t="s">
        <v>135</v>
      </c>
      <c r="C102" s="96" t="s">
        <v>343</v>
      </c>
      <c r="D102" s="16">
        <v>2</v>
      </c>
      <c r="E102" s="16">
        <f t="shared" si="7"/>
        <v>1</v>
      </c>
      <c r="F102" s="16">
        <f t="shared" si="8"/>
        <v>1</v>
      </c>
      <c r="G102" s="19" t="s">
        <v>136</v>
      </c>
      <c r="H102" s="59" t="s">
        <v>409</v>
      </c>
      <c r="I102" s="15" t="s">
        <v>395</v>
      </c>
    </row>
    <row r="103" spans="1:9" x14ac:dyDescent="0.25">
      <c r="A103" s="120">
        <v>412</v>
      </c>
      <c r="B103" s="29" t="s">
        <v>137</v>
      </c>
      <c r="C103" s="100">
        <v>7</v>
      </c>
      <c r="D103" s="16">
        <v>1</v>
      </c>
      <c r="E103" s="16">
        <f t="shared" si="7"/>
        <v>1</v>
      </c>
      <c r="F103" s="16">
        <f t="shared" si="8"/>
        <v>1</v>
      </c>
      <c r="G103" s="19" t="s">
        <v>620</v>
      </c>
      <c r="H103" s="59" t="s">
        <v>409</v>
      </c>
      <c r="I103" s="15" t="s">
        <v>395</v>
      </c>
    </row>
    <row r="104" spans="1:9" ht="78.75" x14ac:dyDescent="0.25">
      <c r="A104" s="120">
        <v>412</v>
      </c>
      <c r="B104" s="29" t="s">
        <v>138</v>
      </c>
      <c r="C104" s="96" t="s">
        <v>372</v>
      </c>
      <c r="D104" s="16">
        <v>2</v>
      </c>
      <c r="E104" s="16">
        <f t="shared" si="7"/>
        <v>1</v>
      </c>
      <c r="F104" s="16">
        <f t="shared" si="8"/>
        <v>1</v>
      </c>
      <c r="G104" s="19" t="s">
        <v>139</v>
      </c>
      <c r="H104" s="59" t="s">
        <v>409</v>
      </c>
      <c r="I104" s="15" t="s">
        <v>395</v>
      </c>
    </row>
    <row r="105" spans="1:9" x14ac:dyDescent="0.25">
      <c r="A105" s="120">
        <v>412</v>
      </c>
      <c r="B105" s="29" t="s">
        <v>140</v>
      </c>
      <c r="C105" s="100">
        <v>4</v>
      </c>
      <c r="D105" s="16">
        <v>1</v>
      </c>
      <c r="E105" s="16">
        <f t="shared" ref="E105:E143" si="17">QUOTIENT(D105+7,8)</f>
        <v>1</v>
      </c>
      <c r="F105" s="16">
        <f t="shared" ref="F105:F143" si="18">QUOTIENT(E105+1,2)</f>
        <v>1</v>
      </c>
      <c r="G105" s="19" t="s">
        <v>621</v>
      </c>
      <c r="H105" s="59" t="s">
        <v>409</v>
      </c>
      <c r="I105" s="15" t="s">
        <v>395</v>
      </c>
    </row>
    <row r="106" spans="1:9" ht="78.75" x14ac:dyDescent="0.25">
      <c r="A106" s="120">
        <v>412</v>
      </c>
      <c r="B106" s="29" t="s">
        <v>141</v>
      </c>
      <c r="C106" s="96" t="s">
        <v>373</v>
      </c>
      <c r="D106" s="16">
        <v>2</v>
      </c>
      <c r="E106" s="16">
        <f t="shared" si="17"/>
        <v>1</v>
      </c>
      <c r="F106" s="16">
        <f t="shared" si="18"/>
        <v>1</v>
      </c>
      <c r="G106" s="19" t="s">
        <v>142</v>
      </c>
      <c r="H106" s="59" t="s">
        <v>409</v>
      </c>
      <c r="I106" s="15" t="s">
        <v>395</v>
      </c>
    </row>
    <row r="107" spans="1:9" x14ac:dyDescent="0.25">
      <c r="A107" s="120">
        <v>412</v>
      </c>
      <c r="B107" s="29" t="s">
        <v>143</v>
      </c>
      <c r="C107" s="100">
        <v>1</v>
      </c>
      <c r="D107" s="16">
        <v>1</v>
      </c>
      <c r="E107" s="16">
        <f t="shared" si="17"/>
        <v>1</v>
      </c>
      <c r="F107" s="16">
        <f t="shared" si="18"/>
        <v>1</v>
      </c>
      <c r="G107" s="19" t="s">
        <v>622</v>
      </c>
      <c r="H107" s="59" t="s">
        <v>409</v>
      </c>
      <c r="I107" s="15" t="s">
        <v>395</v>
      </c>
    </row>
    <row r="108" spans="1:9" ht="17.25" thickBot="1" x14ac:dyDescent="0.3">
      <c r="A108" s="122">
        <v>412</v>
      </c>
      <c r="B108" s="37" t="s">
        <v>144</v>
      </c>
      <c r="C108" s="95">
        <v>0</v>
      </c>
      <c r="D108" s="66">
        <v>1</v>
      </c>
      <c r="E108" s="66">
        <f t="shared" si="17"/>
        <v>1</v>
      </c>
      <c r="F108" s="66">
        <f t="shared" si="18"/>
        <v>1</v>
      </c>
      <c r="G108" s="46" t="s">
        <v>145</v>
      </c>
      <c r="H108" s="101" t="s">
        <v>409</v>
      </c>
      <c r="I108" s="46" t="s">
        <v>395</v>
      </c>
    </row>
    <row r="109" spans="1:9" x14ac:dyDescent="0.25">
      <c r="A109" s="142">
        <v>413</v>
      </c>
      <c r="B109" s="7" t="s">
        <v>146</v>
      </c>
      <c r="C109" s="63" t="s">
        <v>374</v>
      </c>
      <c r="D109" s="8">
        <v>3</v>
      </c>
      <c r="E109" s="8">
        <f t="shared" si="17"/>
        <v>1</v>
      </c>
      <c r="F109" s="8">
        <f t="shared" si="18"/>
        <v>1</v>
      </c>
      <c r="G109" s="15" t="s">
        <v>147</v>
      </c>
      <c r="H109" s="51" t="s">
        <v>409</v>
      </c>
      <c r="I109" s="15" t="s">
        <v>396</v>
      </c>
    </row>
    <row r="110" spans="1:9" x14ac:dyDescent="0.25">
      <c r="A110" s="120">
        <v>413</v>
      </c>
      <c r="B110" s="29" t="s">
        <v>26</v>
      </c>
      <c r="C110" s="96" t="s">
        <v>375</v>
      </c>
      <c r="D110" s="16">
        <v>3</v>
      </c>
      <c r="E110" s="16">
        <f t="shared" si="17"/>
        <v>1</v>
      </c>
      <c r="F110" s="16">
        <f t="shared" si="18"/>
        <v>1</v>
      </c>
      <c r="G110" s="19" t="s">
        <v>26</v>
      </c>
      <c r="H110" s="59"/>
      <c r="I110" s="15" t="s">
        <v>396</v>
      </c>
    </row>
    <row r="111" spans="1:9" x14ac:dyDescent="0.25">
      <c r="A111" s="120">
        <v>413</v>
      </c>
      <c r="B111" s="29" t="s">
        <v>148</v>
      </c>
      <c r="C111" s="100">
        <v>9</v>
      </c>
      <c r="D111" s="16">
        <v>1</v>
      </c>
      <c r="E111" s="16">
        <f t="shared" si="17"/>
        <v>1</v>
      </c>
      <c r="F111" s="16">
        <f t="shared" si="18"/>
        <v>1</v>
      </c>
      <c r="G111" s="19" t="s">
        <v>623</v>
      </c>
      <c r="H111" s="59" t="s">
        <v>409</v>
      </c>
      <c r="I111" s="15" t="s">
        <v>396</v>
      </c>
    </row>
    <row r="112" spans="1:9" x14ac:dyDescent="0.25">
      <c r="A112" s="120">
        <v>413</v>
      </c>
      <c r="B112" s="29" t="s">
        <v>149</v>
      </c>
      <c r="C112" s="100">
        <v>8</v>
      </c>
      <c r="D112" s="16">
        <v>1</v>
      </c>
      <c r="E112" s="16">
        <f t="shared" si="17"/>
        <v>1</v>
      </c>
      <c r="F112" s="16">
        <f t="shared" si="18"/>
        <v>1</v>
      </c>
      <c r="G112" s="19" t="s">
        <v>150</v>
      </c>
      <c r="H112" s="59" t="s">
        <v>409</v>
      </c>
      <c r="I112" s="15" t="s">
        <v>396</v>
      </c>
    </row>
    <row r="113" spans="1:9" x14ac:dyDescent="0.25">
      <c r="A113" s="120">
        <v>413</v>
      </c>
      <c r="B113" s="29" t="s">
        <v>151</v>
      </c>
      <c r="C113" s="100">
        <v>7</v>
      </c>
      <c r="D113" s="16">
        <v>1</v>
      </c>
      <c r="E113" s="16">
        <f t="shared" si="17"/>
        <v>1</v>
      </c>
      <c r="F113" s="16">
        <f t="shared" si="18"/>
        <v>1</v>
      </c>
      <c r="G113" s="19" t="s">
        <v>624</v>
      </c>
      <c r="H113" s="59" t="s">
        <v>409</v>
      </c>
      <c r="I113" s="15" t="s">
        <v>396</v>
      </c>
    </row>
    <row r="114" spans="1:9" x14ac:dyDescent="0.25">
      <c r="A114" s="120">
        <v>413</v>
      </c>
      <c r="B114" s="29" t="s">
        <v>152</v>
      </c>
      <c r="C114" s="100">
        <v>6</v>
      </c>
      <c r="D114" s="16">
        <v>1</v>
      </c>
      <c r="E114" s="16">
        <f t="shared" si="17"/>
        <v>1</v>
      </c>
      <c r="F114" s="16">
        <f t="shared" si="18"/>
        <v>1</v>
      </c>
      <c r="G114" s="19" t="s">
        <v>625</v>
      </c>
      <c r="H114" s="59" t="s">
        <v>409</v>
      </c>
      <c r="I114" s="15" t="s">
        <v>396</v>
      </c>
    </row>
    <row r="115" spans="1:9" ht="78.75" x14ac:dyDescent="0.25">
      <c r="A115" s="120">
        <v>413</v>
      </c>
      <c r="B115" s="29" t="s">
        <v>153</v>
      </c>
      <c r="C115" s="96" t="s">
        <v>376</v>
      </c>
      <c r="D115" s="16">
        <v>2</v>
      </c>
      <c r="E115" s="16">
        <f t="shared" si="17"/>
        <v>1</v>
      </c>
      <c r="F115" s="16">
        <f t="shared" si="18"/>
        <v>1</v>
      </c>
      <c r="G115" s="19" t="s">
        <v>154</v>
      </c>
      <c r="H115" s="59" t="s">
        <v>409</v>
      </c>
      <c r="I115" s="15" t="s">
        <v>396</v>
      </c>
    </row>
    <row r="116" spans="1:9" x14ac:dyDescent="0.25">
      <c r="A116" s="120">
        <v>413</v>
      </c>
      <c r="B116" s="29" t="s">
        <v>155</v>
      </c>
      <c r="C116" s="100">
        <v>3</v>
      </c>
      <c r="D116" s="16">
        <v>1</v>
      </c>
      <c r="E116" s="16">
        <f t="shared" si="17"/>
        <v>1</v>
      </c>
      <c r="F116" s="16">
        <f t="shared" si="18"/>
        <v>1</v>
      </c>
      <c r="G116" s="19" t="s">
        <v>626</v>
      </c>
      <c r="H116" s="59" t="s">
        <v>409</v>
      </c>
      <c r="I116" s="15" t="s">
        <v>396</v>
      </c>
    </row>
    <row r="117" spans="1:9" ht="78.75" x14ac:dyDescent="0.25">
      <c r="A117" s="120">
        <v>413</v>
      </c>
      <c r="B117" s="29" t="s">
        <v>156</v>
      </c>
      <c r="C117" s="96" t="s">
        <v>377</v>
      </c>
      <c r="D117" s="16">
        <v>2</v>
      </c>
      <c r="E117" s="16">
        <f t="shared" si="17"/>
        <v>1</v>
      </c>
      <c r="F117" s="16">
        <f t="shared" si="18"/>
        <v>1</v>
      </c>
      <c r="G117" s="19" t="s">
        <v>157</v>
      </c>
      <c r="H117" s="59" t="s">
        <v>409</v>
      </c>
      <c r="I117" s="15" t="s">
        <v>396</v>
      </c>
    </row>
    <row r="118" spans="1:9" ht="17.25" thickBot="1" x14ac:dyDescent="0.3">
      <c r="A118" s="122">
        <v>413</v>
      </c>
      <c r="B118" s="37" t="s">
        <v>158</v>
      </c>
      <c r="C118" s="95">
        <v>0</v>
      </c>
      <c r="D118" s="66">
        <v>1</v>
      </c>
      <c r="E118" s="66">
        <f t="shared" si="17"/>
        <v>1</v>
      </c>
      <c r="F118" s="66">
        <f t="shared" si="18"/>
        <v>1</v>
      </c>
      <c r="G118" s="46" t="s">
        <v>627</v>
      </c>
      <c r="H118" s="101" t="s">
        <v>409</v>
      </c>
      <c r="I118" s="46" t="s">
        <v>396</v>
      </c>
    </row>
    <row r="119" spans="1:9" ht="47.25" x14ac:dyDescent="0.25">
      <c r="A119" s="142">
        <v>414</v>
      </c>
      <c r="B119" s="7" t="s">
        <v>700</v>
      </c>
      <c r="C119" s="64">
        <v>15</v>
      </c>
      <c r="D119" s="8">
        <v>1</v>
      </c>
      <c r="E119" s="8">
        <f t="shared" si="17"/>
        <v>1</v>
      </c>
      <c r="F119" s="8">
        <f t="shared" si="18"/>
        <v>1</v>
      </c>
      <c r="G119" s="15" t="s">
        <v>701</v>
      </c>
      <c r="H119" s="51" t="s">
        <v>416</v>
      </c>
      <c r="I119" s="15" t="s">
        <v>397</v>
      </c>
    </row>
    <row r="120" spans="1:9" x14ac:dyDescent="0.25">
      <c r="A120" s="120">
        <v>414</v>
      </c>
      <c r="B120" s="29" t="s">
        <v>159</v>
      </c>
      <c r="C120" s="100">
        <v>14</v>
      </c>
      <c r="D120" s="16">
        <v>1</v>
      </c>
      <c r="E120" s="16">
        <f t="shared" si="17"/>
        <v>1</v>
      </c>
      <c r="F120" s="16">
        <f t="shared" si="18"/>
        <v>1</v>
      </c>
      <c r="G120" s="19" t="s">
        <v>160</v>
      </c>
      <c r="H120" s="59" t="s">
        <v>416</v>
      </c>
      <c r="I120" s="15" t="s">
        <v>397</v>
      </c>
    </row>
    <row r="121" spans="1:9" x14ac:dyDescent="0.25">
      <c r="A121" s="120">
        <v>414</v>
      </c>
      <c r="B121" s="29" t="s">
        <v>161</v>
      </c>
      <c r="C121" s="100">
        <v>13</v>
      </c>
      <c r="D121" s="16">
        <v>1</v>
      </c>
      <c r="E121" s="16">
        <f t="shared" si="17"/>
        <v>1</v>
      </c>
      <c r="F121" s="16">
        <f t="shared" si="18"/>
        <v>1</v>
      </c>
      <c r="G121" s="19" t="s">
        <v>162</v>
      </c>
      <c r="H121" s="59" t="s">
        <v>416</v>
      </c>
      <c r="I121" s="15" t="s">
        <v>397</v>
      </c>
    </row>
    <row r="122" spans="1:9" x14ac:dyDescent="0.25">
      <c r="A122" s="120">
        <v>414</v>
      </c>
      <c r="B122" s="29" t="s">
        <v>26</v>
      </c>
      <c r="C122" s="100">
        <v>12</v>
      </c>
      <c r="D122" s="16">
        <v>1</v>
      </c>
      <c r="E122" s="16">
        <f t="shared" si="17"/>
        <v>1</v>
      </c>
      <c r="F122" s="16">
        <f t="shared" si="18"/>
        <v>1</v>
      </c>
      <c r="G122" s="19" t="s">
        <v>25</v>
      </c>
      <c r="H122" s="59"/>
      <c r="I122" s="15" t="s">
        <v>397</v>
      </c>
    </row>
    <row r="123" spans="1:9" ht="17.25" thickBot="1" x14ac:dyDescent="0.3">
      <c r="A123" s="122">
        <v>414</v>
      </c>
      <c r="B123" s="37" t="s">
        <v>163</v>
      </c>
      <c r="C123" s="97" t="s">
        <v>364</v>
      </c>
      <c r="D123" s="66">
        <v>12</v>
      </c>
      <c r="E123" s="66">
        <f t="shared" si="17"/>
        <v>2</v>
      </c>
      <c r="F123" s="66">
        <f t="shared" si="18"/>
        <v>1</v>
      </c>
      <c r="G123" s="46" t="s">
        <v>164</v>
      </c>
      <c r="H123" s="101" t="s">
        <v>416</v>
      </c>
      <c r="I123" s="46" t="s">
        <v>397</v>
      </c>
    </row>
    <row r="124" spans="1:9" ht="17.25" thickBot="1" x14ac:dyDescent="0.3">
      <c r="A124" s="150">
        <v>415</v>
      </c>
      <c r="B124" s="40" t="s">
        <v>165</v>
      </c>
      <c r="C124" s="67" t="s">
        <v>334</v>
      </c>
      <c r="D124" s="68">
        <v>16</v>
      </c>
      <c r="E124" s="68">
        <f t="shared" si="17"/>
        <v>2</v>
      </c>
      <c r="F124" s="68">
        <f t="shared" si="18"/>
        <v>1</v>
      </c>
      <c r="G124" s="42" t="s">
        <v>166</v>
      </c>
      <c r="H124" s="50" t="s">
        <v>416</v>
      </c>
      <c r="I124" s="42" t="s">
        <v>398</v>
      </c>
    </row>
    <row r="125" spans="1:9" ht="17.25" thickBot="1" x14ac:dyDescent="0.3">
      <c r="A125" s="150">
        <v>416</v>
      </c>
      <c r="B125" s="40" t="s">
        <v>596</v>
      </c>
      <c r="C125" s="67" t="s">
        <v>334</v>
      </c>
      <c r="D125" s="68">
        <v>16</v>
      </c>
      <c r="E125" s="68">
        <f t="shared" si="17"/>
        <v>2</v>
      </c>
      <c r="F125" s="68">
        <f t="shared" si="18"/>
        <v>1</v>
      </c>
      <c r="G125" s="42" t="s">
        <v>596</v>
      </c>
      <c r="H125" s="50" t="s">
        <v>597</v>
      </c>
      <c r="I125" s="42" t="s">
        <v>399</v>
      </c>
    </row>
    <row r="126" spans="1:9" ht="17.25" thickBot="1" x14ac:dyDescent="0.3">
      <c r="A126" s="150">
        <v>417</v>
      </c>
      <c r="B126" s="40" t="s">
        <v>26</v>
      </c>
      <c r="C126" s="67" t="s">
        <v>334</v>
      </c>
      <c r="D126" s="68">
        <v>16</v>
      </c>
      <c r="E126" s="68">
        <f t="shared" si="17"/>
        <v>2</v>
      </c>
      <c r="F126" s="68">
        <f t="shared" si="18"/>
        <v>1</v>
      </c>
      <c r="G126" s="42" t="s">
        <v>26</v>
      </c>
      <c r="H126" s="50" t="s">
        <v>597</v>
      </c>
      <c r="I126" s="42" t="s">
        <v>400</v>
      </c>
    </row>
    <row r="127" spans="1:9" x14ac:dyDescent="0.25">
      <c r="A127" s="142">
        <v>418</v>
      </c>
      <c r="B127" s="7" t="s">
        <v>26</v>
      </c>
      <c r="C127" s="63" t="s">
        <v>347</v>
      </c>
      <c r="D127" s="8">
        <v>5</v>
      </c>
      <c r="E127" s="8">
        <f t="shared" si="17"/>
        <v>1</v>
      </c>
      <c r="F127" s="8">
        <f t="shared" si="18"/>
        <v>1</v>
      </c>
      <c r="G127" s="15" t="s">
        <v>26</v>
      </c>
      <c r="H127" s="51"/>
      <c r="I127" s="15" t="s">
        <v>401</v>
      </c>
    </row>
    <row r="128" spans="1:9" ht="31.5" x14ac:dyDescent="0.25">
      <c r="A128" s="120">
        <v>418</v>
      </c>
      <c r="B128" s="29" t="s">
        <v>167</v>
      </c>
      <c r="C128" s="96" t="s">
        <v>348</v>
      </c>
      <c r="D128" s="16">
        <v>10</v>
      </c>
      <c r="E128" s="16">
        <f t="shared" si="17"/>
        <v>2</v>
      </c>
      <c r="F128" s="16">
        <f t="shared" si="18"/>
        <v>1</v>
      </c>
      <c r="G128" s="19" t="s">
        <v>83</v>
      </c>
      <c r="H128" s="59" t="s">
        <v>414</v>
      </c>
      <c r="I128" s="15" t="s">
        <v>401</v>
      </c>
    </row>
    <row r="129" spans="1:9" ht="48" thickBot="1" x14ac:dyDescent="0.3">
      <c r="A129" s="122">
        <v>418</v>
      </c>
      <c r="B129" s="37" t="s">
        <v>168</v>
      </c>
      <c r="C129" s="95">
        <v>0</v>
      </c>
      <c r="D129" s="66">
        <v>1</v>
      </c>
      <c r="E129" s="66">
        <f t="shared" si="17"/>
        <v>1</v>
      </c>
      <c r="F129" s="66">
        <f t="shared" si="18"/>
        <v>1</v>
      </c>
      <c r="G129" s="46" t="s">
        <v>169</v>
      </c>
      <c r="H129" s="101" t="s">
        <v>414</v>
      </c>
      <c r="I129" s="46" t="s">
        <v>401</v>
      </c>
    </row>
    <row r="130" spans="1:9" x14ac:dyDescent="0.25">
      <c r="A130" s="142">
        <v>419</v>
      </c>
      <c r="B130" s="7" t="s">
        <v>26</v>
      </c>
      <c r="C130" s="63" t="s">
        <v>349</v>
      </c>
      <c r="D130" s="8">
        <v>6</v>
      </c>
      <c r="E130" s="8">
        <f t="shared" si="17"/>
        <v>1</v>
      </c>
      <c r="F130" s="8">
        <f t="shared" si="18"/>
        <v>1</v>
      </c>
      <c r="G130" s="15" t="s">
        <v>26</v>
      </c>
      <c r="H130" s="51"/>
      <c r="I130" s="15" t="s">
        <v>402</v>
      </c>
    </row>
    <row r="131" spans="1:9" ht="48" thickBot="1" x14ac:dyDescent="0.3">
      <c r="A131" s="122">
        <v>419</v>
      </c>
      <c r="B131" s="37" t="s">
        <v>170</v>
      </c>
      <c r="C131" s="97" t="s">
        <v>350</v>
      </c>
      <c r="D131" s="66">
        <v>10</v>
      </c>
      <c r="E131" s="66">
        <f t="shared" si="17"/>
        <v>2</v>
      </c>
      <c r="F131" s="66">
        <f t="shared" si="18"/>
        <v>1</v>
      </c>
      <c r="G131" s="46" t="s">
        <v>628</v>
      </c>
      <c r="H131" s="101" t="s">
        <v>414</v>
      </c>
      <c r="I131" s="46" t="s">
        <v>402</v>
      </c>
    </row>
    <row r="132" spans="1:9" x14ac:dyDescent="0.25">
      <c r="A132" s="142" t="s">
        <v>357</v>
      </c>
      <c r="B132" s="7" t="s">
        <v>26</v>
      </c>
      <c r="C132" s="63" t="s">
        <v>347</v>
      </c>
      <c r="D132" s="8">
        <v>5</v>
      </c>
      <c r="E132" s="8">
        <f t="shared" si="17"/>
        <v>1</v>
      </c>
      <c r="F132" s="8">
        <f t="shared" si="18"/>
        <v>1</v>
      </c>
      <c r="G132" s="15" t="s">
        <v>26</v>
      </c>
      <c r="H132" s="51"/>
      <c r="I132" s="15" t="s">
        <v>403</v>
      </c>
    </row>
    <row r="133" spans="1:9" ht="31.5" x14ac:dyDescent="0.25">
      <c r="A133" s="120" t="s">
        <v>357</v>
      </c>
      <c r="B133" s="29" t="s">
        <v>171</v>
      </c>
      <c r="C133" s="96" t="s">
        <v>348</v>
      </c>
      <c r="D133" s="16">
        <v>10</v>
      </c>
      <c r="E133" s="16">
        <f t="shared" si="17"/>
        <v>2</v>
      </c>
      <c r="F133" s="16">
        <f t="shared" si="18"/>
        <v>1</v>
      </c>
      <c r="G133" s="19" t="s">
        <v>83</v>
      </c>
      <c r="H133" s="59" t="s">
        <v>414</v>
      </c>
      <c r="I133" s="15" t="s">
        <v>403</v>
      </c>
    </row>
    <row r="134" spans="1:9" ht="48" thickBot="1" x14ac:dyDescent="0.3">
      <c r="A134" s="122" t="s">
        <v>357</v>
      </c>
      <c r="B134" s="37" t="s">
        <v>172</v>
      </c>
      <c r="C134" s="95">
        <v>0</v>
      </c>
      <c r="D134" s="66">
        <v>1</v>
      </c>
      <c r="E134" s="66">
        <f t="shared" si="17"/>
        <v>1</v>
      </c>
      <c r="F134" s="66">
        <f t="shared" si="18"/>
        <v>1</v>
      </c>
      <c r="G134" s="46" t="s">
        <v>173</v>
      </c>
      <c r="H134" s="101" t="s">
        <v>414</v>
      </c>
      <c r="I134" s="46" t="s">
        <v>403</v>
      </c>
    </row>
    <row r="135" spans="1:9" x14ac:dyDescent="0.25">
      <c r="A135" s="142" t="s">
        <v>358</v>
      </c>
      <c r="B135" s="7" t="s">
        <v>26</v>
      </c>
      <c r="C135" s="63" t="s">
        <v>349</v>
      </c>
      <c r="D135" s="8">
        <v>6</v>
      </c>
      <c r="E135" s="8">
        <f t="shared" si="17"/>
        <v>1</v>
      </c>
      <c r="F135" s="8">
        <f t="shared" si="18"/>
        <v>1</v>
      </c>
      <c r="G135" s="15" t="s">
        <v>26</v>
      </c>
      <c r="H135" s="51"/>
      <c r="I135" s="15" t="s">
        <v>404</v>
      </c>
    </row>
    <row r="136" spans="1:9" ht="48" thickBot="1" x14ac:dyDescent="0.3">
      <c r="A136" s="122" t="s">
        <v>358</v>
      </c>
      <c r="B136" s="37" t="s">
        <v>174</v>
      </c>
      <c r="C136" s="97" t="s">
        <v>350</v>
      </c>
      <c r="D136" s="66">
        <v>10</v>
      </c>
      <c r="E136" s="66">
        <f t="shared" si="17"/>
        <v>2</v>
      </c>
      <c r="F136" s="66">
        <f t="shared" si="18"/>
        <v>1</v>
      </c>
      <c r="G136" s="46" t="s">
        <v>629</v>
      </c>
      <c r="H136" s="101" t="s">
        <v>414</v>
      </c>
      <c r="I136" s="46" t="s">
        <v>404</v>
      </c>
    </row>
    <row r="137" spans="1:9" x14ac:dyDescent="0.25">
      <c r="A137" s="142" t="s">
        <v>359</v>
      </c>
      <c r="B137" s="7" t="s">
        <v>26</v>
      </c>
      <c r="C137" s="63" t="s">
        <v>347</v>
      </c>
      <c r="D137" s="8">
        <v>5</v>
      </c>
      <c r="E137" s="8">
        <f t="shared" si="17"/>
        <v>1</v>
      </c>
      <c r="F137" s="8">
        <f t="shared" si="18"/>
        <v>1</v>
      </c>
      <c r="G137" s="15" t="s">
        <v>26</v>
      </c>
      <c r="H137" s="51"/>
      <c r="I137" s="15" t="s">
        <v>405</v>
      </c>
    </row>
    <row r="138" spans="1:9" ht="31.5" x14ac:dyDescent="0.25">
      <c r="A138" s="120" t="s">
        <v>359</v>
      </c>
      <c r="B138" s="29" t="s">
        <v>175</v>
      </c>
      <c r="C138" s="96" t="s">
        <v>348</v>
      </c>
      <c r="D138" s="16">
        <v>10</v>
      </c>
      <c r="E138" s="16">
        <f t="shared" si="17"/>
        <v>2</v>
      </c>
      <c r="F138" s="16">
        <f t="shared" si="18"/>
        <v>1</v>
      </c>
      <c r="G138" s="19" t="s">
        <v>83</v>
      </c>
      <c r="H138" s="59" t="s">
        <v>414</v>
      </c>
      <c r="I138" s="15" t="s">
        <v>405</v>
      </c>
    </row>
    <row r="139" spans="1:9" ht="48" thickBot="1" x14ac:dyDescent="0.3">
      <c r="A139" s="122" t="s">
        <v>359</v>
      </c>
      <c r="B139" s="37" t="s">
        <v>176</v>
      </c>
      <c r="C139" s="95">
        <v>0</v>
      </c>
      <c r="D139" s="66">
        <v>1</v>
      </c>
      <c r="E139" s="66">
        <f t="shared" si="17"/>
        <v>1</v>
      </c>
      <c r="F139" s="66">
        <f t="shared" si="18"/>
        <v>1</v>
      </c>
      <c r="G139" s="46" t="s">
        <v>177</v>
      </c>
      <c r="H139" s="101" t="s">
        <v>414</v>
      </c>
      <c r="I139" s="46" t="s">
        <v>405</v>
      </c>
    </row>
    <row r="140" spans="1:9" x14ac:dyDescent="0.25">
      <c r="A140" s="142" t="s">
        <v>360</v>
      </c>
      <c r="B140" s="7" t="s">
        <v>26</v>
      </c>
      <c r="C140" s="63" t="s">
        <v>349</v>
      </c>
      <c r="D140" s="8">
        <v>6</v>
      </c>
      <c r="E140" s="8">
        <f t="shared" si="17"/>
        <v>1</v>
      </c>
      <c r="F140" s="8">
        <f t="shared" si="18"/>
        <v>1</v>
      </c>
      <c r="G140" s="15" t="s">
        <v>26</v>
      </c>
      <c r="H140" s="51"/>
      <c r="I140" s="15" t="s">
        <v>406</v>
      </c>
    </row>
    <row r="141" spans="1:9" ht="48" thickBot="1" x14ac:dyDescent="0.3">
      <c r="A141" s="122" t="s">
        <v>360</v>
      </c>
      <c r="B141" s="37" t="s">
        <v>178</v>
      </c>
      <c r="C141" s="97" t="s">
        <v>350</v>
      </c>
      <c r="D141" s="66">
        <v>10</v>
      </c>
      <c r="E141" s="66">
        <f t="shared" si="17"/>
        <v>2</v>
      </c>
      <c r="F141" s="66">
        <f t="shared" si="18"/>
        <v>1</v>
      </c>
      <c r="G141" s="46" t="s">
        <v>630</v>
      </c>
      <c r="H141" s="101" t="s">
        <v>414</v>
      </c>
      <c r="I141" s="46" t="s">
        <v>406</v>
      </c>
    </row>
    <row r="142" spans="1:9" ht="17.25" thickBot="1" x14ac:dyDescent="0.3">
      <c r="A142" s="150" t="s">
        <v>361</v>
      </c>
      <c r="B142" s="105" t="s">
        <v>26</v>
      </c>
      <c r="C142" s="67" t="s">
        <v>334</v>
      </c>
      <c r="D142" s="68">
        <v>16</v>
      </c>
      <c r="E142" s="68">
        <f t="shared" si="17"/>
        <v>2</v>
      </c>
      <c r="F142" s="68">
        <f t="shared" si="18"/>
        <v>1</v>
      </c>
      <c r="G142" s="106" t="s">
        <v>26</v>
      </c>
      <c r="H142" s="50"/>
      <c r="I142" s="42" t="s">
        <v>407</v>
      </c>
    </row>
    <row r="143" spans="1:9" ht="17.25" thickBot="1" x14ac:dyDescent="0.3">
      <c r="A143" s="114" t="s">
        <v>362</v>
      </c>
      <c r="B143" s="45" t="s">
        <v>26</v>
      </c>
      <c r="C143" s="92" t="s">
        <v>334</v>
      </c>
      <c r="D143" s="93">
        <v>16</v>
      </c>
      <c r="E143" s="93">
        <f t="shared" si="17"/>
        <v>2</v>
      </c>
      <c r="F143" s="93">
        <f t="shared" si="18"/>
        <v>1</v>
      </c>
      <c r="G143" s="41" t="s">
        <v>26</v>
      </c>
      <c r="H143" s="60"/>
      <c r="I143" s="41" t="s">
        <v>408</v>
      </c>
    </row>
    <row r="144" spans="1:9" ht="17.25" thickBot="1" x14ac:dyDescent="0.3">
      <c r="A144" s="116" t="str">
        <f t="shared" ref="A144" si="19">DEC2HEX(HEX2DEC(A143)+F143)</f>
        <v>420</v>
      </c>
      <c r="B144" s="13" t="s">
        <v>22</v>
      </c>
      <c r="C144" s="61"/>
      <c r="D144" s="12">
        <f>SUM(D2:D143)</f>
        <v>512</v>
      </c>
      <c r="E144" s="12">
        <f>QUOTIENT(D144+7,8)</f>
        <v>64</v>
      </c>
      <c r="F144" s="12">
        <f>QUOTIENT(E144+1,2)</f>
        <v>32</v>
      </c>
      <c r="G144" s="12"/>
      <c r="H144"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2" activePane="bottomLeft" state="frozen"/>
      <selection pane="bottomLeft" activeCell="G22" sqref="G22"/>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3" t="s">
        <v>329</v>
      </c>
      <c r="B1" s="113" t="s">
        <v>554</v>
      </c>
      <c r="C1" s="113" t="s">
        <v>331</v>
      </c>
      <c r="D1" s="113" t="s">
        <v>335</v>
      </c>
      <c r="E1" s="113" t="s">
        <v>336</v>
      </c>
      <c r="F1" s="113" t="s">
        <v>337</v>
      </c>
      <c r="G1" s="113" t="s">
        <v>18</v>
      </c>
      <c r="H1" s="113" t="s">
        <v>19</v>
      </c>
      <c r="I1" s="113" t="s">
        <v>341</v>
      </c>
    </row>
    <row r="2" spans="1:9" ht="16.5" thickBot="1" x14ac:dyDescent="0.3">
      <c r="A2" s="144">
        <v>420</v>
      </c>
      <c r="B2" s="144" t="s">
        <v>556</v>
      </c>
      <c r="C2" s="67" t="s">
        <v>334</v>
      </c>
      <c r="D2" s="144">
        <v>16</v>
      </c>
      <c r="E2" s="68">
        <f t="shared" ref="E2:E3" si="0">QUOTIENT(D2+7,8)</f>
        <v>2</v>
      </c>
      <c r="F2" s="68">
        <f t="shared" ref="F2:F3" si="1">QUOTIENT(E2+1,2)</f>
        <v>1</v>
      </c>
      <c r="G2" s="144" t="s">
        <v>558</v>
      </c>
      <c r="H2" s="144"/>
      <c r="I2" s="144"/>
    </row>
    <row r="3" spans="1:9" ht="16.5" thickBot="1" x14ac:dyDescent="0.3">
      <c r="A3" s="144">
        <v>421</v>
      </c>
      <c r="B3" s="144" t="s">
        <v>557</v>
      </c>
      <c r="C3" s="67" t="s">
        <v>334</v>
      </c>
      <c r="D3" s="144">
        <v>16</v>
      </c>
      <c r="E3" s="68">
        <f t="shared" si="0"/>
        <v>2</v>
      </c>
      <c r="F3" s="68">
        <f t="shared" si="1"/>
        <v>1</v>
      </c>
      <c r="G3" s="144" t="s">
        <v>559</v>
      </c>
      <c r="H3" s="144"/>
      <c r="I3" s="144"/>
    </row>
    <row r="4" spans="1:9" x14ac:dyDescent="0.25">
      <c r="A4" s="51">
        <v>422</v>
      </c>
      <c r="B4" s="51" t="s">
        <v>670</v>
      </c>
      <c r="C4" s="51">
        <v>0</v>
      </c>
      <c r="D4" s="51">
        <v>1</v>
      </c>
      <c r="E4" s="8">
        <f t="shared" ref="E4" si="2">QUOTIENT(D4+7,8)</f>
        <v>1</v>
      </c>
      <c r="F4" s="8">
        <f t="shared" ref="F4" si="3">QUOTIENT(E4+1,2)</f>
        <v>1</v>
      </c>
      <c r="G4" s="8" t="s">
        <v>25</v>
      </c>
      <c r="H4" s="51"/>
      <c r="I4" s="51" t="s">
        <v>429</v>
      </c>
    </row>
    <row r="5" spans="1:9" ht="60" x14ac:dyDescent="0.25">
      <c r="A5" s="59">
        <v>422</v>
      </c>
      <c r="B5" s="59" t="s">
        <v>179</v>
      </c>
      <c r="C5" s="59">
        <v>1</v>
      </c>
      <c r="D5" s="59">
        <v>1</v>
      </c>
      <c r="E5" s="16">
        <f t="shared" ref="E5" si="4">QUOTIENT(D5+7,8)</f>
        <v>1</v>
      </c>
      <c r="F5" s="16">
        <f t="shared" ref="F5" si="5">QUOTIENT(E5+1,2)</f>
        <v>1</v>
      </c>
      <c r="G5" s="16" t="s">
        <v>420</v>
      </c>
      <c r="H5" s="5" t="s">
        <v>631</v>
      </c>
      <c r="I5" s="59" t="s">
        <v>430</v>
      </c>
    </row>
    <row r="6" spans="1:9" ht="31.5" x14ac:dyDescent="0.25">
      <c r="A6" s="59">
        <v>422</v>
      </c>
      <c r="B6" s="59" t="s">
        <v>180</v>
      </c>
      <c r="C6" s="96" t="s">
        <v>373</v>
      </c>
      <c r="D6" s="59">
        <v>2</v>
      </c>
      <c r="E6" s="16">
        <f t="shared" ref="E6:E17" si="6">QUOTIENT(D6+7,8)</f>
        <v>1</v>
      </c>
      <c r="F6" s="16">
        <f t="shared" ref="F6:F17" si="7">QUOTIENT(E6+1,2)</f>
        <v>1</v>
      </c>
      <c r="G6" s="16" t="s">
        <v>421</v>
      </c>
      <c r="H6" s="5" t="s">
        <v>181</v>
      </c>
      <c r="I6" s="59" t="s">
        <v>431</v>
      </c>
    </row>
    <row r="7" spans="1:9" ht="31.5" x14ac:dyDescent="0.25">
      <c r="A7" s="59">
        <v>422</v>
      </c>
      <c r="B7" s="59" t="s">
        <v>182</v>
      </c>
      <c r="C7" s="59">
        <v>4</v>
      </c>
      <c r="D7" s="59">
        <v>1</v>
      </c>
      <c r="E7" s="16">
        <f t="shared" si="6"/>
        <v>1</v>
      </c>
      <c r="F7" s="16">
        <f t="shared" si="7"/>
        <v>1</v>
      </c>
      <c r="G7" s="16" t="s">
        <v>422</v>
      </c>
      <c r="H7" s="5" t="s">
        <v>181</v>
      </c>
      <c r="I7" s="59" t="s">
        <v>432</v>
      </c>
    </row>
    <row r="8" spans="1:9" ht="47.25" x14ac:dyDescent="0.25">
      <c r="A8" s="59">
        <v>422</v>
      </c>
      <c r="B8" s="59" t="s">
        <v>183</v>
      </c>
      <c r="C8" s="96" t="s">
        <v>372</v>
      </c>
      <c r="D8" s="59">
        <v>2</v>
      </c>
      <c r="E8" s="16">
        <f t="shared" si="6"/>
        <v>1</v>
      </c>
      <c r="F8" s="16">
        <f t="shared" si="7"/>
        <v>1</v>
      </c>
      <c r="G8" s="16" t="s">
        <v>423</v>
      </c>
      <c r="H8" s="5" t="s">
        <v>181</v>
      </c>
      <c r="I8" s="59" t="s">
        <v>433</v>
      </c>
    </row>
    <row r="9" spans="1:9" ht="31.5" x14ac:dyDescent="0.25">
      <c r="A9" s="59">
        <v>422</v>
      </c>
      <c r="B9" s="59" t="s">
        <v>184</v>
      </c>
      <c r="C9" s="59">
        <v>7</v>
      </c>
      <c r="D9" s="59">
        <v>1</v>
      </c>
      <c r="E9" s="16">
        <f t="shared" si="6"/>
        <v>1</v>
      </c>
      <c r="F9" s="16">
        <f t="shared" si="7"/>
        <v>1</v>
      </c>
      <c r="G9" s="16" t="s">
        <v>424</v>
      </c>
      <c r="H9" s="5" t="s">
        <v>181</v>
      </c>
      <c r="I9" s="59" t="s">
        <v>434</v>
      </c>
    </row>
    <row r="10" spans="1:9" ht="31.5" x14ac:dyDescent="0.25">
      <c r="A10" s="59">
        <v>422</v>
      </c>
      <c r="B10" s="59" t="s">
        <v>185</v>
      </c>
      <c r="C10" s="59">
        <v>8</v>
      </c>
      <c r="D10" s="59">
        <v>1</v>
      </c>
      <c r="E10" s="16">
        <f t="shared" si="6"/>
        <v>1</v>
      </c>
      <c r="F10" s="16">
        <f t="shared" si="7"/>
        <v>1</v>
      </c>
      <c r="G10" s="16" t="s">
        <v>425</v>
      </c>
      <c r="H10" s="5" t="s">
        <v>186</v>
      </c>
      <c r="I10" s="59" t="s">
        <v>435</v>
      </c>
    </row>
    <row r="11" spans="1:9" ht="31.5" x14ac:dyDescent="0.25">
      <c r="A11" s="59">
        <v>422</v>
      </c>
      <c r="B11" s="59" t="s">
        <v>419</v>
      </c>
      <c r="C11" s="59">
        <v>9</v>
      </c>
      <c r="D11" s="59">
        <v>1</v>
      </c>
      <c r="E11" s="16">
        <f t="shared" si="6"/>
        <v>1</v>
      </c>
      <c r="F11" s="16">
        <f t="shared" si="7"/>
        <v>1</v>
      </c>
      <c r="G11" s="16" t="s">
        <v>426</v>
      </c>
      <c r="H11" s="5" t="s">
        <v>187</v>
      </c>
      <c r="I11" s="59" t="s">
        <v>436</v>
      </c>
    </row>
    <row r="12" spans="1:9" ht="31.5" x14ac:dyDescent="0.25">
      <c r="A12" s="59">
        <v>422</v>
      </c>
      <c r="B12" s="59" t="s">
        <v>188</v>
      </c>
      <c r="C12" s="59">
        <v>10</v>
      </c>
      <c r="D12" s="59">
        <v>1</v>
      </c>
      <c r="E12" s="16">
        <f t="shared" si="6"/>
        <v>1</v>
      </c>
      <c r="F12" s="16">
        <f t="shared" si="7"/>
        <v>1</v>
      </c>
      <c r="G12" s="16" t="s">
        <v>632</v>
      </c>
      <c r="H12" s="5" t="s">
        <v>189</v>
      </c>
      <c r="I12" s="59" t="s">
        <v>437</v>
      </c>
    </row>
    <row r="13" spans="1:9" ht="31.5" x14ac:dyDescent="0.25">
      <c r="A13" s="59">
        <v>422</v>
      </c>
      <c r="B13" s="59" t="s">
        <v>190</v>
      </c>
      <c r="C13" s="59">
        <v>11</v>
      </c>
      <c r="D13" s="59">
        <v>1</v>
      </c>
      <c r="E13" s="16">
        <f t="shared" si="6"/>
        <v>1</v>
      </c>
      <c r="F13" s="16">
        <f t="shared" si="7"/>
        <v>1</v>
      </c>
      <c r="G13" s="16" t="s">
        <v>632</v>
      </c>
      <c r="H13" s="5" t="s">
        <v>189</v>
      </c>
      <c r="I13" s="59" t="s">
        <v>438</v>
      </c>
    </row>
    <row r="14" spans="1:9" ht="31.5" x14ac:dyDescent="0.25">
      <c r="A14" s="59">
        <v>422</v>
      </c>
      <c r="B14" s="59" t="s">
        <v>191</v>
      </c>
      <c r="C14" s="59">
        <v>12</v>
      </c>
      <c r="D14" s="59">
        <v>1</v>
      </c>
      <c r="E14" s="16">
        <f t="shared" si="6"/>
        <v>1</v>
      </c>
      <c r="F14" s="16">
        <f t="shared" si="7"/>
        <v>1</v>
      </c>
      <c r="G14" s="16" t="s">
        <v>427</v>
      </c>
      <c r="H14" s="5" t="s">
        <v>181</v>
      </c>
      <c r="I14" s="59" t="s">
        <v>439</v>
      </c>
    </row>
    <row r="15" spans="1:9" ht="31.5" x14ac:dyDescent="0.25">
      <c r="A15" s="59">
        <v>422</v>
      </c>
      <c r="B15" s="59" t="s">
        <v>192</v>
      </c>
      <c r="C15" s="59">
        <v>13</v>
      </c>
      <c r="D15" s="59">
        <v>1</v>
      </c>
      <c r="E15" s="16">
        <f t="shared" si="6"/>
        <v>1</v>
      </c>
      <c r="F15" s="16">
        <f t="shared" si="7"/>
        <v>1</v>
      </c>
      <c r="G15" s="16" t="s">
        <v>428</v>
      </c>
      <c r="H15" s="5" t="s">
        <v>181</v>
      </c>
      <c r="I15" s="59" t="s">
        <v>440</v>
      </c>
    </row>
    <row r="16" spans="1:9" x14ac:dyDescent="0.25">
      <c r="A16" s="59">
        <v>422</v>
      </c>
      <c r="B16" s="59" t="s">
        <v>26</v>
      </c>
      <c r="C16" s="59">
        <v>14</v>
      </c>
      <c r="D16" s="59">
        <v>1</v>
      </c>
      <c r="E16" s="16">
        <f t="shared" si="6"/>
        <v>1</v>
      </c>
      <c r="F16" s="16">
        <f t="shared" si="7"/>
        <v>1</v>
      </c>
      <c r="G16" s="59" t="s">
        <v>25</v>
      </c>
      <c r="H16" s="59"/>
      <c r="I16" s="59" t="s">
        <v>441</v>
      </c>
    </row>
    <row r="17" spans="1:9" ht="16.5" thickBot="1" x14ac:dyDescent="0.3">
      <c r="A17" s="101">
        <v>422</v>
      </c>
      <c r="B17" s="101" t="s">
        <v>26</v>
      </c>
      <c r="C17" s="101">
        <v>15</v>
      </c>
      <c r="D17" s="101">
        <v>1</v>
      </c>
      <c r="E17" s="66">
        <f t="shared" si="6"/>
        <v>1</v>
      </c>
      <c r="F17" s="66">
        <f t="shared" si="7"/>
        <v>1</v>
      </c>
      <c r="G17" s="101" t="s">
        <v>25</v>
      </c>
      <c r="H17" s="101"/>
      <c r="I17" s="101" t="s">
        <v>442</v>
      </c>
    </row>
    <row r="18" spans="1:9" ht="31.5" x14ac:dyDescent="0.25">
      <c r="A18" s="51">
        <v>423</v>
      </c>
      <c r="B18" s="51" t="s">
        <v>193</v>
      </c>
      <c r="C18" s="51">
        <v>0</v>
      </c>
      <c r="D18" s="51">
        <v>1</v>
      </c>
      <c r="E18" s="8">
        <f t="shared" ref="E18" si="8">QUOTIENT(D18+7,8)</f>
        <v>1</v>
      </c>
      <c r="F18" s="8">
        <f t="shared" ref="F18" si="9">QUOTIENT(E18+1,2)</f>
        <v>1</v>
      </c>
      <c r="G18" s="8" t="s">
        <v>445</v>
      </c>
      <c r="H18" s="5" t="s">
        <v>633</v>
      </c>
      <c r="I18" s="59" t="s">
        <v>455</v>
      </c>
    </row>
    <row r="19" spans="1:9" ht="31.5" x14ac:dyDescent="0.25">
      <c r="A19" s="59">
        <v>423</v>
      </c>
      <c r="B19" s="59" t="s">
        <v>194</v>
      </c>
      <c r="C19" s="59">
        <v>1</v>
      </c>
      <c r="D19" s="59">
        <v>1</v>
      </c>
      <c r="E19" s="16">
        <f t="shared" ref="E19:E44" si="10">QUOTIENT(D19+7,8)</f>
        <v>1</v>
      </c>
      <c r="F19" s="16">
        <f t="shared" ref="F19:F44" si="11">QUOTIENT(E19+1,2)</f>
        <v>1</v>
      </c>
      <c r="G19" s="16" t="s">
        <v>446</v>
      </c>
      <c r="H19" s="5" t="s">
        <v>195</v>
      </c>
      <c r="I19" s="59" t="s">
        <v>456</v>
      </c>
    </row>
    <row r="20" spans="1:9" ht="75" x14ac:dyDescent="0.25">
      <c r="A20" s="59">
        <v>423</v>
      </c>
      <c r="B20" s="59" t="s">
        <v>196</v>
      </c>
      <c r="C20" s="59">
        <v>2</v>
      </c>
      <c r="D20" s="59">
        <v>1</v>
      </c>
      <c r="E20" s="16">
        <f t="shared" si="10"/>
        <v>1</v>
      </c>
      <c r="F20" s="16">
        <f t="shared" si="11"/>
        <v>1</v>
      </c>
      <c r="G20" s="16" t="s">
        <v>448</v>
      </c>
      <c r="H20" s="5" t="s">
        <v>634</v>
      </c>
      <c r="I20" s="59" t="s">
        <v>457</v>
      </c>
    </row>
    <row r="21" spans="1:9" ht="31.5" x14ac:dyDescent="0.25">
      <c r="A21" s="59">
        <v>423</v>
      </c>
      <c r="B21" s="59" t="s">
        <v>198</v>
      </c>
      <c r="C21" s="59">
        <v>3</v>
      </c>
      <c r="D21" s="59">
        <v>1</v>
      </c>
      <c r="E21" s="16">
        <f t="shared" si="10"/>
        <v>1</v>
      </c>
      <c r="F21" s="16">
        <f t="shared" si="11"/>
        <v>1</v>
      </c>
      <c r="G21" s="16" t="s">
        <v>447</v>
      </c>
      <c r="H21" s="5" t="s">
        <v>199</v>
      </c>
      <c r="I21" s="59" t="s">
        <v>458</v>
      </c>
    </row>
    <row r="22" spans="1:9" ht="31.5" x14ac:dyDescent="0.25">
      <c r="A22" s="59">
        <v>423</v>
      </c>
      <c r="B22" s="59" t="s">
        <v>200</v>
      </c>
      <c r="C22" s="59">
        <v>4</v>
      </c>
      <c r="D22" s="59">
        <v>1</v>
      </c>
      <c r="E22" s="16">
        <f t="shared" si="10"/>
        <v>1</v>
      </c>
      <c r="F22" s="16">
        <f t="shared" si="11"/>
        <v>1</v>
      </c>
      <c r="G22" s="16" t="s">
        <v>717</v>
      </c>
      <c r="H22" s="5" t="s">
        <v>201</v>
      </c>
      <c r="I22" s="59" t="s">
        <v>459</v>
      </c>
    </row>
    <row r="23" spans="1:9" ht="31.5" x14ac:dyDescent="0.25">
      <c r="A23" s="59">
        <v>423</v>
      </c>
      <c r="B23" s="59" t="s">
        <v>202</v>
      </c>
      <c r="C23" s="59">
        <v>5</v>
      </c>
      <c r="D23" s="59">
        <v>1</v>
      </c>
      <c r="E23" s="16">
        <f t="shared" si="10"/>
        <v>1</v>
      </c>
      <c r="F23" s="16">
        <f t="shared" si="11"/>
        <v>1</v>
      </c>
      <c r="G23" s="16" t="s">
        <v>449</v>
      </c>
      <c r="H23" s="5" t="s">
        <v>635</v>
      </c>
      <c r="I23" s="59" t="s">
        <v>460</v>
      </c>
    </row>
    <row r="24" spans="1:9" ht="31.5" x14ac:dyDescent="0.25">
      <c r="A24" s="59">
        <v>423</v>
      </c>
      <c r="B24" s="59" t="s">
        <v>203</v>
      </c>
      <c r="C24" s="59">
        <v>6</v>
      </c>
      <c r="D24" s="59">
        <v>1</v>
      </c>
      <c r="E24" s="16">
        <f t="shared" si="10"/>
        <v>1</v>
      </c>
      <c r="F24" s="16">
        <f t="shared" si="11"/>
        <v>1</v>
      </c>
      <c r="G24" s="16" t="s">
        <v>450</v>
      </c>
      <c r="H24" s="5" t="s">
        <v>636</v>
      </c>
      <c r="I24" s="59" t="s">
        <v>461</v>
      </c>
    </row>
    <row r="25" spans="1:9" ht="90" x14ac:dyDescent="0.25">
      <c r="A25" s="59">
        <v>423</v>
      </c>
      <c r="B25" s="59" t="s">
        <v>204</v>
      </c>
      <c r="C25" s="59">
        <v>7</v>
      </c>
      <c r="D25" s="59">
        <v>1</v>
      </c>
      <c r="E25" s="16">
        <f t="shared" si="10"/>
        <v>1</v>
      </c>
      <c r="F25" s="16">
        <f t="shared" si="11"/>
        <v>1</v>
      </c>
      <c r="G25" s="16" t="s">
        <v>637</v>
      </c>
      <c r="H25" s="5" t="s">
        <v>638</v>
      </c>
      <c r="I25" s="59" t="s">
        <v>462</v>
      </c>
    </row>
    <row r="26" spans="1:9" ht="45" x14ac:dyDescent="0.25">
      <c r="A26" s="59">
        <v>423</v>
      </c>
      <c r="B26" s="59" t="s">
        <v>205</v>
      </c>
      <c r="C26" s="59">
        <v>8</v>
      </c>
      <c r="D26" s="59">
        <v>1</v>
      </c>
      <c r="E26" s="16">
        <f t="shared" si="10"/>
        <v>1</v>
      </c>
      <c r="F26" s="16">
        <f t="shared" si="11"/>
        <v>1</v>
      </c>
      <c r="G26" s="16" t="s">
        <v>451</v>
      </c>
      <c r="H26" s="5" t="s">
        <v>639</v>
      </c>
      <c r="I26" s="59" t="s">
        <v>463</v>
      </c>
    </row>
    <row r="27" spans="1:9" ht="120" x14ac:dyDescent="0.25">
      <c r="A27" s="59">
        <v>423</v>
      </c>
      <c r="B27" s="59" t="s">
        <v>206</v>
      </c>
      <c r="C27" s="59">
        <v>9</v>
      </c>
      <c r="D27" s="59">
        <v>1</v>
      </c>
      <c r="E27" s="16">
        <f t="shared" si="10"/>
        <v>1</v>
      </c>
      <c r="F27" s="16">
        <f t="shared" si="11"/>
        <v>1</v>
      </c>
      <c r="G27" s="16" t="s">
        <v>640</v>
      </c>
      <c r="H27" s="5" t="s">
        <v>641</v>
      </c>
      <c r="I27" s="59" t="s">
        <v>464</v>
      </c>
    </row>
    <row r="28" spans="1:9" ht="165" x14ac:dyDescent="0.25">
      <c r="A28" s="59">
        <v>423</v>
      </c>
      <c r="B28" s="59" t="s">
        <v>207</v>
      </c>
      <c r="C28" s="59">
        <v>10</v>
      </c>
      <c r="D28" s="59">
        <v>1</v>
      </c>
      <c r="E28" s="16">
        <f t="shared" si="10"/>
        <v>1</v>
      </c>
      <c r="F28" s="16">
        <f t="shared" si="11"/>
        <v>1</v>
      </c>
      <c r="G28" s="16" t="s">
        <v>642</v>
      </c>
      <c r="H28" s="5" t="s">
        <v>643</v>
      </c>
      <c r="I28" s="59" t="s">
        <v>465</v>
      </c>
    </row>
    <row r="29" spans="1:9" ht="78.75" x14ac:dyDescent="0.25">
      <c r="A29" s="59">
        <v>423</v>
      </c>
      <c r="B29" s="59" t="s">
        <v>208</v>
      </c>
      <c r="C29" s="96" t="s">
        <v>371</v>
      </c>
      <c r="D29" s="59">
        <v>2</v>
      </c>
      <c r="E29" s="16">
        <f t="shared" si="10"/>
        <v>1</v>
      </c>
      <c r="F29" s="16">
        <f t="shared" si="11"/>
        <v>1</v>
      </c>
      <c r="G29" s="16" t="s">
        <v>453</v>
      </c>
      <c r="H29" s="5" t="s">
        <v>644</v>
      </c>
      <c r="I29" s="59" t="s">
        <v>466</v>
      </c>
    </row>
    <row r="30" spans="1:9" ht="78.75" x14ac:dyDescent="0.25">
      <c r="A30" s="59">
        <v>423</v>
      </c>
      <c r="B30" s="59" t="s">
        <v>209</v>
      </c>
      <c r="C30" s="96" t="s">
        <v>444</v>
      </c>
      <c r="D30" s="59">
        <v>2</v>
      </c>
      <c r="E30" s="16">
        <f t="shared" si="10"/>
        <v>1</v>
      </c>
      <c r="F30" s="16">
        <f t="shared" si="11"/>
        <v>1</v>
      </c>
      <c r="G30" s="16" t="s">
        <v>454</v>
      </c>
      <c r="H30" s="5" t="s">
        <v>210</v>
      </c>
      <c r="I30" s="59" t="s">
        <v>467</v>
      </c>
    </row>
    <row r="31" spans="1:9" ht="32.25" thickBot="1" x14ac:dyDescent="0.3">
      <c r="A31" s="101">
        <v>423</v>
      </c>
      <c r="B31" s="101" t="s">
        <v>443</v>
      </c>
      <c r="C31" s="101">
        <v>15</v>
      </c>
      <c r="D31" s="101">
        <v>1</v>
      </c>
      <c r="E31" s="66">
        <f t="shared" si="10"/>
        <v>1</v>
      </c>
      <c r="F31" s="66">
        <f t="shared" si="11"/>
        <v>1</v>
      </c>
      <c r="G31" s="66" t="s">
        <v>452</v>
      </c>
      <c r="H31" s="112" t="s">
        <v>645</v>
      </c>
      <c r="I31" s="101" t="s">
        <v>468</v>
      </c>
    </row>
    <row r="32" spans="1:9" ht="16.5" thickBot="1" x14ac:dyDescent="0.3">
      <c r="A32" s="50">
        <v>424</v>
      </c>
      <c r="B32" s="50" t="s">
        <v>646</v>
      </c>
      <c r="C32" s="67" t="s">
        <v>334</v>
      </c>
      <c r="D32" s="144">
        <v>16</v>
      </c>
      <c r="E32" s="68">
        <f t="shared" si="10"/>
        <v>2</v>
      </c>
      <c r="F32" s="68">
        <f t="shared" si="11"/>
        <v>1</v>
      </c>
      <c r="G32" s="145" t="s">
        <v>646</v>
      </c>
      <c r="H32" s="50"/>
      <c r="I32" s="50"/>
    </row>
    <row r="33" spans="1:9" ht="16.5" thickBot="1" x14ac:dyDescent="0.3">
      <c r="A33" s="50">
        <v>425</v>
      </c>
      <c r="B33" s="50" t="s">
        <v>647</v>
      </c>
      <c r="C33" s="67" t="s">
        <v>334</v>
      </c>
      <c r="D33" s="144">
        <v>16</v>
      </c>
      <c r="E33" s="68">
        <f t="shared" ref="E33:E34" si="12">QUOTIENT(D33+7,8)</f>
        <v>2</v>
      </c>
      <c r="F33" s="68">
        <f t="shared" ref="F33:F34" si="13">QUOTIENT(E33+1,2)</f>
        <v>1</v>
      </c>
      <c r="G33" s="145" t="s">
        <v>647</v>
      </c>
      <c r="H33" s="50"/>
      <c r="I33" s="50"/>
    </row>
    <row r="34" spans="1:9" ht="16.5" thickBot="1" x14ac:dyDescent="0.3">
      <c r="A34" s="50">
        <v>426</v>
      </c>
      <c r="B34" s="50" t="s">
        <v>646</v>
      </c>
      <c r="C34" s="67" t="s">
        <v>334</v>
      </c>
      <c r="D34" s="144">
        <v>16</v>
      </c>
      <c r="E34" s="68">
        <f t="shared" si="12"/>
        <v>2</v>
      </c>
      <c r="F34" s="68">
        <f t="shared" si="13"/>
        <v>1</v>
      </c>
      <c r="G34" s="145" t="s">
        <v>646</v>
      </c>
      <c r="H34" s="50"/>
      <c r="I34" s="50"/>
    </row>
    <row r="35" spans="1:9" ht="16.5" thickBot="1" x14ac:dyDescent="0.3">
      <c r="A35" s="50">
        <v>427</v>
      </c>
      <c r="B35" s="50" t="s">
        <v>647</v>
      </c>
      <c r="C35" s="67" t="s">
        <v>334</v>
      </c>
      <c r="D35" s="144">
        <v>16</v>
      </c>
      <c r="E35" s="68">
        <f t="shared" ref="E35:E41" si="14">QUOTIENT(D35+7,8)</f>
        <v>2</v>
      </c>
      <c r="F35" s="68">
        <f t="shared" ref="F35:F41" si="15">QUOTIENT(E35+1,2)</f>
        <v>1</v>
      </c>
      <c r="G35" s="145" t="s">
        <v>647</v>
      </c>
      <c r="H35" s="50"/>
      <c r="I35" s="50"/>
    </row>
    <row r="36" spans="1:9" ht="16.5" thickBot="1" x14ac:dyDescent="0.3">
      <c r="A36" s="50">
        <v>428</v>
      </c>
      <c r="B36" s="50" t="s">
        <v>646</v>
      </c>
      <c r="C36" s="67" t="s">
        <v>334</v>
      </c>
      <c r="D36" s="144">
        <v>16</v>
      </c>
      <c r="E36" s="68">
        <f t="shared" si="14"/>
        <v>2</v>
      </c>
      <c r="F36" s="68">
        <f t="shared" si="15"/>
        <v>1</v>
      </c>
      <c r="G36" s="145" t="s">
        <v>646</v>
      </c>
      <c r="H36" s="50"/>
      <c r="I36" s="50"/>
    </row>
    <row r="37" spans="1:9" ht="16.5" thickBot="1" x14ac:dyDescent="0.3">
      <c r="A37" s="50">
        <v>429</v>
      </c>
      <c r="B37" s="50" t="s">
        <v>647</v>
      </c>
      <c r="C37" s="67" t="s">
        <v>334</v>
      </c>
      <c r="D37" s="144">
        <v>16</v>
      </c>
      <c r="E37" s="68">
        <f t="shared" si="14"/>
        <v>2</v>
      </c>
      <c r="F37" s="68">
        <f t="shared" si="15"/>
        <v>1</v>
      </c>
      <c r="G37" s="145" t="s">
        <v>647</v>
      </c>
      <c r="H37" s="50"/>
      <c r="I37" s="50"/>
    </row>
    <row r="38" spans="1:9" ht="16.5" thickBot="1" x14ac:dyDescent="0.3">
      <c r="A38" s="150" t="s">
        <v>604</v>
      </c>
      <c r="B38" s="50" t="s">
        <v>646</v>
      </c>
      <c r="C38" s="67" t="s">
        <v>334</v>
      </c>
      <c r="D38" s="144">
        <v>16</v>
      </c>
      <c r="E38" s="68">
        <f t="shared" si="14"/>
        <v>2</v>
      </c>
      <c r="F38" s="68">
        <f t="shared" si="15"/>
        <v>1</v>
      </c>
      <c r="G38" s="145" t="s">
        <v>646</v>
      </c>
      <c r="H38" s="50"/>
      <c r="I38" s="50"/>
    </row>
    <row r="39" spans="1:9" ht="16.5" thickBot="1" x14ac:dyDescent="0.3">
      <c r="A39" s="150" t="s">
        <v>605</v>
      </c>
      <c r="B39" s="50" t="s">
        <v>647</v>
      </c>
      <c r="C39" s="67" t="s">
        <v>334</v>
      </c>
      <c r="D39" s="144">
        <v>16</v>
      </c>
      <c r="E39" s="68">
        <f t="shared" si="14"/>
        <v>2</v>
      </c>
      <c r="F39" s="68">
        <f t="shared" si="15"/>
        <v>1</v>
      </c>
      <c r="G39" s="145" t="s">
        <v>647</v>
      </c>
      <c r="H39" s="50"/>
      <c r="I39" s="50"/>
    </row>
    <row r="40" spans="1:9" ht="16.5" thickBot="1" x14ac:dyDescent="0.3">
      <c r="A40" s="150" t="s">
        <v>606</v>
      </c>
      <c r="B40" s="50" t="s">
        <v>646</v>
      </c>
      <c r="C40" s="67" t="s">
        <v>334</v>
      </c>
      <c r="D40" s="144">
        <v>16</v>
      </c>
      <c r="E40" s="68">
        <f t="shared" si="14"/>
        <v>2</v>
      </c>
      <c r="F40" s="68">
        <f t="shared" si="15"/>
        <v>1</v>
      </c>
      <c r="G40" s="145" t="s">
        <v>646</v>
      </c>
      <c r="H40" s="50"/>
      <c r="I40" s="50"/>
    </row>
    <row r="41" spans="1:9" ht="16.5" thickBot="1" x14ac:dyDescent="0.3">
      <c r="A41" s="150" t="s">
        <v>607</v>
      </c>
      <c r="B41" s="50" t="s">
        <v>647</v>
      </c>
      <c r="C41" s="67" t="s">
        <v>334</v>
      </c>
      <c r="D41" s="144">
        <v>16</v>
      </c>
      <c r="E41" s="68">
        <f t="shared" si="14"/>
        <v>2</v>
      </c>
      <c r="F41" s="68">
        <f t="shared" si="15"/>
        <v>1</v>
      </c>
      <c r="G41" s="145" t="s">
        <v>647</v>
      </c>
      <c r="H41" s="50"/>
      <c r="I41" s="50"/>
    </row>
    <row r="42" spans="1:9" x14ac:dyDescent="0.25">
      <c r="A42" s="121" t="s">
        <v>598</v>
      </c>
      <c r="B42" s="133" t="s">
        <v>599</v>
      </c>
      <c r="C42" s="118" t="s">
        <v>601</v>
      </c>
      <c r="D42" s="133">
        <v>15</v>
      </c>
      <c r="E42" s="24">
        <f t="shared" si="10"/>
        <v>2</v>
      </c>
      <c r="F42" s="24">
        <f t="shared" si="11"/>
        <v>1</v>
      </c>
      <c r="G42" s="134" t="s">
        <v>599</v>
      </c>
      <c r="H42" s="135"/>
      <c r="I42" s="133"/>
    </row>
    <row r="43" spans="1:9" ht="16.5" thickBot="1" x14ac:dyDescent="0.3">
      <c r="A43" s="122" t="s">
        <v>598</v>
      </c>
      <c r="B43" s="136" t="s">
        <v>602</v>
      </c>
      <c r="C43" s="136">
        <v>0</v>
      </c>
      <c r="D43" s="136">
        <v>1</v>
      </c>
      <c r="E43" s="66">
        <f t="shared" si="10"/>
        <v>1</v>
      </c>
      <c r="F43" s="66">
        <f t="shared" si="11"/>
        <v>1</v>
      </c>
      <c r="G43" s="137" t="s">
        <v>603</v>
      </c>
      <c r="H43" s="138"/>
      <c r="I43" s="136"/>
    </row>
    <row r="44" spans="1:9" ht="16.5" thickBot="1" x14ac:dyDescent="0.3">
      <c r="A44" s="114" t="s">
        <v>600</v>
      </c>
      <c r="B44" s="130" t="s">
        <v>599</v>
      </c>
      <c r="C44" s="96" t="s">
        <v>334</v>
      </c>
      <c r="D44" s="130">
        <v>16</v>
      </c>
      <c r="E44" s="93">
        <f t="shared" si="10"/>
        <v>2</v>
      </c>
      <c r="F44" s="93">
        <f t="shared" si="11"/>
        <v>1</v>
      </c>
      <c r="G44" s="131" t="s">
        <v>599</v>
      </c>
      <c r="H44" s="132"/>
      <c r="I44" s="130"/>
    </row>
    <row r="45" spans="1:9" ht="16.5" thickBot="1" x14ac:dyDescent="0.3">
      <c r="A45" s="116">
        <v>430</v>
      </c>
      <c r="B45" s="13" t="s">
        <v>22</v>
      </c>
      <c r="C45" s="61"/>
      <c r="D45" s="61">
        <f>SUM(D2:D44)</f>
        <v>256</v>
      </c>
      <c r="E45" s="12">
        <f>QUOTIENT(D45+7,8)</f>
        <v>32</v>
      </c>
      <c r="F45" s="12">
        <f>QUOTIENT(E45+1,2)</f>
        <v>16</v>
      </c>
      <c r="G45" s="61"/>
      <c r="H45" s="61"/>
      <c r="I45" s="61"/>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tabSelected="1" workbookViewId="0">
      <pane ySplit="1" topLeftCell="A9" activePane="bottomLeft" state="frozen"/>
      <selection pane="bottomLeft" activeCell="G19" sqref="G19"/>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3" t="s">
        <v>329</v>
      </c>
      <c r="B1" s="113" t="s">
        <v>554</v>
      </c>
      <c r="C1" s="113" t="s">
        <v>331</v>
      </c>
      <c r="D1" s="113" t="s">
        <v>335</v>
      </c>
      <c r="E1" s="113" t="s">
        <v>336</v>
      </c>
      <c r="F1" s="113" t="s">
        <v>337</v>
      </c>
      <c r="G1" s="113" t="s">
        <v>18</v>
      </c>
      <c r="H1" s="113" t="s">
        <v>19</v>
      </c>
      <c r="I1" s="113" t="s">
        <v>341</v>
      </c>
    </row>
    <row r="2" spans="1:9" ht="16.5" thickBot="1" x14ac:dyDescent="0.3">
      <c r="A2" s="101">
        <v>430</v>
      </c>
      <c r="B2" s="101" t="s">
        <v>25</v>
      </c>
      <c r="C2" s="97" t="s">
        <v>334</v>
      </c>
      <c r="D2" s="101">
        <v>16</v>
      </c>
      <c r="E2" s="66">
        <f t="shared" ref="E2" si="0">QUOTIENT(D2+7,8)</f>
        <v>2</v>
      </c>
      <c r="F2" s="66">
        <f t="shared" ref="F2" si="1">QUOTIENT(E2+1,2)</f>
        <v>1</v>
      </c>
      <c r="G2" s="101" t="s">
        <v>469</v>
      </c>
      <c r="H2" s="66"/>
      <c r="I2" s="101" t="s">
        <v>490</v>
      </c>
    </row>
    <row r="3" spans="1:9" x14ac:dyDescent="0.25">
      <c r="A3" s="51">
        <v>431</v>
      </c>
      <c r="B3" s="51" t="s">
        <v>211</v>
      </c>
      <c r="C3" s="51">
        <v>0</v>
      </c>
      <c r="D3" s="51">
        <v>1</v>
      </c>
      <c r="E3" s="8">
        <f t="shared" ref="E3:E30" si="2">QUOTIENT(D3+7,8)</f>
        <v>1</v>
      </c>
      <c r="F3" s="8">
        <f t="shared" ref="F3:F30" si="3">QUOTIENT(E3+1,2)</f>
        <v>1</v>
      </c>
      <c r="G3" s="51" t="s">
        <v>212</v>
      </c>
      <c r="H3" s="8" t="s">
        <v>213</v>
      </c>
      <c r="I3" s="51" t="s">
        <v>475</v>
      </c>
    </row>
    <row r="4" spans="1:9" x14ac:dyDescent="0.25">
      <c r="A4" s="59">
        <v>431</v>
      </c>
      <c r="B4" s="59" t="s">
        <v>26</v>
      </c>
      <c r="C4" s="59">
        <v>1</v>
      </c>
      <c r="D4" s="59">
        <v>1</v>
      </c>
      <c r="E4" s="16">
        <f t="shared" si="2"/>
        <v>1</v>
      </c>
      <c r="F4" s="16">
        <f t="shared" si="3"/>
        <v>1</v>
      </c>
      <c r="G4" s="59" t="s">
        <v>469</v>
      </c>
      <c r="H4" s="16"/>
      <c r="I4" s="59" t="s">
        <v>476</v>
      </c>
    </row>
    <row r="5" spans="1:9" ht="47.25" x14ac:dyDescent="0.25">
      <c r="A5" s="59">
        <v>431</v>
      </c>
      <c r="B5" s="59" t="s">
        <v>214</v>
      </c>
      <c r="C5" s="59">
        <v>2</v>
      </c>
      <c r="D5" s="59">
        <v>1</v>
      </c>
      <c r="E5" s="16">
        <f t="shared" si="2"/>
        <v>1</v>
      </c>
      <c r="F5" s="16">
        <f t="shared" si="3"/>
        <v>1</v>
      </c>
      <c r="G5" s="16" t="s">
        <v>470</v>
      </c>
      <c r="H5" s="16" t="s">
        <v>222</v>
      </c>
      <c r="I5" s="59" t="s">
        <v>477</v>
      </c>
    </row>
    <row r="6" spans="1:9" ht="110.25" x14ac:dyDescent="0.25">
      <c r="A6" s="59">
        <v>431</v>
      </c>
      <c r="B6" s="59" t="s">
        <v>215</v>
      </c>
      <c r="C6" s="59">
        <v>3</v>
      </c>
      <c r="D6" s="59">
        <v>1</v>
      </c>
      <c r="E6" s="16">
        <f t="shared" si="2"/>
        <v>1</v>
      </c>
      <c r="F6" s="16">
        <f t="shared" si="3"/>
        <v>1</v>
      </c>
      <c r="G6" s="16" t="s">
        <v>471</v>
      </c>
      <c r="H6" s="16" t="s">
        <v>648</v>
      </c>
      <c r="I6" s="59" t="s">
        <v>478</v>
      </c>
    </row>
    <row r="7" spans="1:9" ht="31.5" x14ac:dyDescent="0.25">
      <c r="A7" s="59">
        <v>431</v>
      </c>
      <c r="B7" s="59" t="s">
        <v>216</v>
      </c>
      <c r="C7" s="59">
        <v>4</v>
      </c>
      <c r="D7" s="59">
        <v>1</v>
      </c>
      <c r="E7" s="16">
        <f t="shared" si="2"/>
        <v>1</v>
      </c>
      <c r="F7" s="16">
        <f t="shared" si="3"/>
        <v>1</v>
      </c>
      <c r="G7" s="16" t="s">
        <v>472</v>
      </c>
      <c r="H7" s="16" t="s">
        <v>222</v>
      </c>
      <c r="I7" s="59" t="s">
        <v>479</v>
      </c>
    </row>
    <row r="8" spans="1:9" x14ac:dyDescent="0.25">
      <c r="A8" s="59">
        <v>431</v>
      </c>
      <c r="B8" s="59" t="s">
        <v>217</v>
      </c>
      <c r="C8" s="59">
        <v>5</v>
      </c>
      <c r="D8" s="59">
        <v>1</v>
      </c>
      <c r="E8" s="16">
        <f t="shared" si="2"/>
        <v>1</v>
      </c>
      <c r="F8" s="16">
        <f t="shared" si="3"/>
        <v>1</v>
      </c>
      <c r="G8" s="59" t="s">
        <v>218</v>
      </c>
      <c r="H8" s="16" t="s">
        <v>222</v>
      </c>
      <c r="I8" s="59" t="s">
        <v>480</v>
      </c>
    </row>
    <row r="9" spans="1:9" ht="31.5" x14ac:dyDescent="0.25">
      <c r="A9" s="59">
        <v>431</v>
      </c>
      <c r="B9" s="59" t="s">
        <v>219</v>
      </c>
      <c r="C9" s="59">
        <v>6</v>
      </c>
      <c r="D9" s="59">
        <v>1</v>
      </c>
      <c r="E9" s="16">
        <f t="shared" si="2"/>
        <v>1</v>
      </c>
      <c r="F9" s="16">
        <f t="shared" si="3"/>
        <v>1</v>
      </c>
      <c r="G9" s="59" t="s">
        <v>220</v>
      </c>
      <c r="H9" s="16" t="s">
        <v>649</v>
      </c>
      <c r="I9" s="59" t="s">
        <v>481</v>
      </c>
    </row>
    <row r="10" spans="1:9" x14ac:dyDescent="0.25">
      <c r="A10" s="59">
        <v>431</v>
      </c>
      <c r="B10" s="59" t="s">
        <v>26</v>
      </c>
      <c r="C10" s="59">
        <v>7</v>
      </c>
      <c r="D10" s="59">
        <v>1</v>
      </c>
      <c r="E10" s="16">
        <f t="shared" si="2"/>
        <v>1</v>
      </c>
      <c r="F10" s="16">
        <f t="shared" si="3"/>
        <v>1</v>
      </c>
      <c r="G10" s="59" t="s">
        <v>469</v>
      </c>
      <c r="H10" s="16"/>
      <c r="I10" s="59" t="s">
        <v>482</v>
      </c>
    </row>
    <row r="11" spans="1:9" x14ac:dyDescent="0.25">
      <c r="A11" s="59">
        <v>431</v>
      </c>
      <c r="B11" s="59" t="s">
        <v>26</v>
      </c>
      <c r="C11" s="59">
        <v>8</v>
      </c>
      <c r="D11" s="59">
        <v>1</v>
      </c>
      <c r="E11" s="16">
        <f t="shared" si="2"/>
        <v>1</v>
      </c>
      <c r="F11" s="16">
        <f t="shared" si="3"/>
        <v>1</v>
      </c>
      <c r="G11" s="59" t="s">
        <v>469</v>
      </c>
      <c r="H11" s="16"/>
      <c r="I11" s="59" t="s">
        <v>483</v>
      </c>
    </row>
    <row r="12" spans="1:9" ht="47.25" x14ac:dyDescent="0.25">
      <c r="A12" s="59">
        <v>431</v>
      </c>
      <c r="B12" s="59" t="s">
        <v>196</v>
      </c>
      <c r="C12" s="59">
        <v>9</v>
      </c>
      <c r="D12" s="59">
        <v>1</v>
      </c>
      <c r="E12" s="16">
        <f t="shared" si="2"/>
        <v>1</v>
      </c>
      <c r="F12" s="16">
        <f t="shared" si="3"/>
        <v>1</v>
      </c>
      <c r="G12" s="59" t="s">
        <v>197</v>
      </c>
      <c r="H12" s="16" t="s">
        <v>650</v>
      </c>
      <c r="I12" s="59" t="s">
        <v>484</v>
      </c>
    </row>
    <row r="13" spans="1:9" ht="47.25" x14ac:dyDescent="0.25">
      <c r="A13" s="59">
        <v>431</v>
      </c>
      <c r="B13" s="59" t="s">
        <v>702</v>
      </c>
      <c r="C13" s="107">
        <v>0.46527777777777779</v>
      </c>
      <c r="D13" s="59">
        <v>2</v>
      </c>
      <c r="E13" s="16">
        <f t="shared" si="2"/>
        <v>1</v>
      </c>
      <c r="F13" s="16">
        <f t="shared" si="3"/>
        <v>1</v>
      </c>
      <c r="G13" s="16" t="s">
        <v>651</v>
      </c>
      <c r="H13" s="16"/>
      <c r="I13" s="59" t="s">
        <v>487</v>
      </c>
    </row>
    <row r="14" spans="1:9" ht="47.25" x14ac:dyDescent="0.25">
      <c r="A14" s="59">
        <v>431</v>
      </c>
      <c r="B14" s="59" t="s">
        <v>223</v>
      </c>
      <c r="C14" s="59">
        <v>12</v>
      </c>
      <c r="D14" s="59">
        <v>1</v>
      </c>
      <c r="E14" s="16">
        <f t="shared" si="2"/>
        <v>1</v>
      </c>
      <c r="F14" s="16">
        <f t="shared" si="3"/>
        <v>1</v>
      </c>
      <c r="G14" s="16" t="s">
        <v>473</v>
      </c>
      <c r="H14" s="16" t="s">
        <v>652</v>
      </c>
      <c r="I14" s="59" t="s">
        <v>488</v>
      </c>
    </row>
    <row r="15" spans="1:9" ht="47.25" x14ac:dyDescent="0.25">
      <c r="A15" s="59">
        <v>431</v>
      </c>
      <c r="B15" s="59" t="s">
        <v>224</v>
      </c>
      <c r="C15" s="59">
        <v>13</v>
      </c>
      <c r="D15" s="59">
        <v>1</v>
      </c>
      <c r="E15" s="16">
        <f t="shared" si="2"/>
        <v>1</v>
      </c>
      <c r="F15" s="16">
        <f t="shared" si="3"/>
        <v>1</v>
      </c>
      <c r="G15" s="16" t="s">
        <v>474</v>
      </c>
      <c r="H15" s="16" t="s">
        <v>222</v>
      </c>
      <c r="I15" s="59" t="s">
        <v>485</v>
      </c>
    </row>
    <row r="16" spans="1:9" x14ac:dyDescent="0.25">
      <c r="A16" s="59">
        <v>431</v>
      </c>
      <c r="B16" s="59" t="s">
        <v>225</v>
      </c>
      <c r="C16" s="59">
        <v>14</v>
      </c>
      <c r="D16" s="59">
        <v>1</v>
      </c>
      <c r="E16" s="16">
        <f t="shared" si="2"/>
        <v>1</v>
      </c>
      <c r="F16" s="16">
        <f t="shared" si="3"/>
        <v>1</v>
      </c>
      <c r="G16" s="59" t="s">
        <v>226</v>
      </c>
      <c r="H16" s="16"/>
      <c r="I16" s="59" t="s">
        <v>486</v>
      </c>
    </row>
    <row r="17" spans="1:9" ht="16.5" thickBot="1" x14ac:dyDescent="0.3">
      <c r="A17" s="101">
        <v>431</v>
      </c>
      <c r="B17" s="101" t="s">
        <v>26</v>
      </c>
      <c r="C17" s="101">
        <v>15</v>
      </c>
      <c r="D17" s="101">
        <v>1</v>
      </c>
      <c r="E17" s="66">
        <f t="shared" si="2"/>
        <v>1</v>
      </c>
      <c r="F17" s="66">
        <f t="shared" si="3"/>
        <v>1</v>
      </c>
      <c r="G17" s="101" t="s">
        <v>469</v>
      </c>
      <c r="H17" s="66"/>
      <c r="I17" s="101" t="s">
        <v>489</v>
      </c>
    </row>
    <row r="18" spans="1:9" ht="31.5" x14ac:dyDescent="0.25">
      <c r="A18" s="51">
        <v>432</v>
      </c>
      <c r="B18" s="51" t="s">
        <v>244</v>
      </c>
      <c r="C18" s="51">
        <v>0</v>
      </c>
      <c r="D18" s="51">
        <v>1</v>
      </c>
      <c r="E18" s="8">
        <f t="shared" si="2"/>
        <v>1</v>
      </c>
      <c r="F18" s="8">
        <f t="shared" si="3"/>
        <v>1</v>
      </c>
      <c r="G18" s="8" t="s">
        <v>718</v>
      </c>
      <c r="H18" s="8" t="s">
        <v>653</v>
      </c>
      <c r="I18" s="51" t="s">
        <v>491</v>
      </c>
    </row>
    <row r="19" spans="1:9" ht="94.5" x14ac:dyDescent="0.25">
      <c r="A19" s="59">
        <v>432</v>
      </c>
      <c r="B19" s="59" t="s">
        <v>245</v>
      </c>
      <c r="C19" s="59">
        <v>1</v>
      </c>
      <c r="D19" s="59">
        <v>1</v>
      </c>
      <c r="E19" s="16">
        <f t="shared" si="2"/>
        <v>1</v>
      </c>
      <c r="F19" s="16">
        <f t="shared" si="3"/>
        <v>1</v>
      </c>
      <c r="G19" s="16" t="s">
        <v>493</v>
      </c>
      <c r="H19" s="16" t="s">
        <v>654</v>
      </c>
      <c r="I19" s="59" t="s">
        <v>492</v>
      </c>
    </row>
    <row r="20" spans="1:9" x14ac:dyDescent="0.25">
      <c r="A20" s="59">
        <v>432</v>
      </c>
      <c r="B20" s="59" t="s">
        <v>26</v>
      </c>
      <c r="C20" s="108" t="s">
        <v>494</v>
      </c>
      <c r="D20" s="59">
        <v>5</v>
      </c>
      <c r="E20" s="16">
        <f t="shared" si="2"/>
        <v>1</v>
      </c>
      <c r="F20" s="16">
        <f t="shared" si="3"/>
        <v>1</v>
      </c>
      <c r="G20" s="59" t="s">
        <v>469</v>
      </c>
      <c r="H20" s="16"/>
      <c r="I20" s="59" t="s">
        <v>498</v>
      </c>
    </row>
    <row r="21" spans="1:9" x14ac:dyDescent="0.25">
      <c r="A21" s="59">
        <v>432</v>
      </c>
      <c r="B21" s="59" t="s">
        <v>702</v>
      </c>
      <c r="C21" s="108" t="s">
        <v>495</v>
      </c>
      <c r="D21" s="59">
        <v>2</v>
      </c>
      <c r="E21" s="16">
        <f t="shared" si="2"/>
        <v>1</v>
      </c>
      <c r="F21" s="16">
        <f t="shared" si="3"/>
        <v>1</v>
      </c>
      <c r="G21" s="59" t="s">
        <v>221</v>
      </c>
      <c r="H21" s="16" t="s">
        <v>222</v>
      </c>
      <c r="I21" s="59" t="s">
        <v>499</v>
      </c>
    </row>
    <row r="22" spans="1:9" x14ac:dyDescent="0.25">
      <c r="A22" s="59">
        <v>432</v>
      </c>
      <c r="B22" s="59" t="s">
        <v>26</v>
      </c>
      <c r="C22" s="108" t="s">
        <v>496</v>
      </c>
      <c r="D22" s="59">
        <v>2</v>
      </c>
      <c r="E22" s="16">
        <f t="shared" si="2"/>
        <v>1</v>
      </c>
      <c r="F22" s="16">
        <f t="shared" si="3"/>
        <v>1</v>
      </c>
      <c r="G22" s="59" t="s">
        <v>469</v>
      </c>
      <c r="H22" s="16"/>
      <c r="I22" s="59" t="s">
        <v>500</v>
      </c>
    </row>
    <row r="23" spans="1:9" ht="63" x14ac:dyDescent="0.25">
      <c r="A23" s="59">
        <v>432</v>
      </c>
      <c r="B23" s="59" t="s">
        <v>246</v>
      </c>
      <c r="C23" s="59">
        <v>11</v>
      </c>
      <c r="D23" s="59">
        <v>1</v>
      </c>
      <c r="E23" s="16">
        <f t="shared" si="2"/>
        <v>1</v>
      </c>
      <c r="F23" s="16">
        <f t="shared" si="3"/>
        <v>1</v>
      </c>
      <c r="G23" s="16" t="s">
        <v>532</v>
      </c>
      <c r="H23" s="16" t="s">
        <v>655</v>
      </c>
      <c r="I23" s="59" t="s">
        <v>501</v>
      </c>
    </row>
    <row r="24" spans="1:9" x14ac:dyDescent="0.25">
      <c r="A24" s="59">
        <v>432</v>
      </c>
      <c r="B24" s="59" t="s">
        <v>670</v>
      </c>
      <c r="C24" s="59">
        <v>12</v>
      </c>
      <c r="D24" s="59">
        <v>1</v>
      </c>
      <c r="E24" s="16">
        <f t="shared" si="2"/>
        <v>1</v>
      </c>
      <c r="F24" s="16">
        <f t="shared" si="3"/>
        <v>1</v>
      </c>
      <c r="G24" s="16" t="s">
        <v>25</v>
      </c>
      <c r="H24" s="16"/>
      <c r="I24" s="59" t="s">
        <v>502</v>
      </c>
    </row>
    <row r="25" spans="1:9" ht="63.75" thickBot="1" x14ac:dyDescent="0.3">
      <c r="A25" s="101">
        <v>432</v>
      </c>
      <c r="B25" s="101" t="s">
        <v>247</v>
      </c>
      <c r="C25" s="109" t="s">
        <v>497</v>
      </c>
      <c r="D25" s="101">
        <v>3</v>
      </c>
      <c r="E25" s="66">
        <f t="shared" si="2"/>
        <v>1</v>
      </c>
      <c r="F25" s="66">
        <f t="shared" si="3"/>
        <v>1</v>
      </c>
      <c r="G25" s="66" t="s">
        <v>533</v>
      </c>
      <c r="H25" s="66" t="s">
        <v>656</v>
      </c>
      <c r="I25" s="101" t="s">
        <v>503</v>
      </c>
    </row>
    <row r="26" spans="1:9" ht="31.5" x14ac:dyDescent="0.25">
      <c r="A26" s="51">
        <v>433</v>
      </c>
      <c r="B26" s="51" t="s">
        <v>248</v>
      </c>
      <c r="C26" s="51">
        <v>0</v>
      </c>
      <c r="D26" s="51">
        <v>1</v>
      </c>
      <c r="E26" s="8">
        <f t="shared" si="2"/>
        <v>1</v>
      </c>
      <c r="F26" s="8">
        <f t="shared" si="3"/>
        <v>1</v>
      </c>
      <c r="G26" s="8" t="s">
        <v>534</v>
      </c>
      <c r="H26" s="8" t="s">
        <v>657</v>
      </c>
      <c r="I26" s="51" t="s">
        <v>507</v>
      </c>
    </row>
    <row r="27" spans="1:9" x14ac:dyDescent="0.25">
      <c r="A27" s="59">
        <v>433</v>
      </c>
      <c r="B27" s="59" t="s">
        <v>26</v>
      </c>
      <c r="C27" s="108" t="s">
        <v>504</v>
      </c>
      <c r="D27" s="59">
        <v>2</v>
      </c>
      <c r="E27" s="16">
        <f t="shared" si="2"/>
        <v>1</v>
      </c>
      <c r="F27" s="16">
        <f t="shared" si="3"/>
        <v>1</v>
      </c>
      <c r="G27" s="59" t="s">
        <v>469</v>
      </c>
      <c r="H27" s="16"/>
      <c r="I27" s="59" t="s">
        <v>508</v>
      </c>
    </row>
    <row r="28" spans="1:9" x14ac:dyDescent="0.25">
      <c r="A28" s="59">
        <v>433</v>
      </c>
      <c r="B28" s="59" t="s">
        <v>26</v>
      </c>
      <c r="C28" s="108" t="s">
        <v>505</v>
      </c>
      <c r="D28" s="59">
        <v>3</v>
      </c>
      <c r="E28" s="16">
        <f t="shared" si="2"/>
        <v>1</v>
      </c>
      <c r="F28" s="16">
        <f t="shared" si="3"/>
        <v>1</v>
      </c>
      <c r="G28" s="59" t="s">
        <v>469</v>
      </c>
      <c r="H28" s="16"/>
      <c r="I28" s="59" t="s">
        <v>509</v>
      </c>
    </row>
    <row r="29" spans="1:9" x14ac:dyDescent="0.25">
      <c r="A29" s="59">
        <v>433</v>
      </c>
      <c r="B29" s="59" t="s">
        <v>26</v>
      </c>
      <c r="C29" s="59">
        <v>6</v>
      </c>
      <c r="D29" s="59">
        <v>1</v>
      </c>
      <c r="E29" s="16">
        <f t="shared" si="2"/>
        <v>1</v>
      </c>
      <c r="F29" s="16">
        <f t="shared" si="3"/>
        <v>1</v>
      </c>
      <c r="G29" s="59" t="s">
        <v>469</v>
      </c>
      <c r="H29" s="16"/>
      <c r="I29" s="59" t="s">
        <v>510</v>
      </c>
    </row>
    <row r="30" spans="1:9" ht="78.75" x14ac:dyDescent="0.25">
      <c r="A30" s="59">
        <v>433</v>
      </c>
      <c r="B30" s="59" t="s">
        <v>249</v>
      </c>
      <c r="C30" s="108" t="s">
        <v>495</v>
      </c>
      <c r="D30" s="59">
        <v>2</v>
      </c>
      <c r="E30" s="16">
        <f t="shared" si="2"/>
        <v>1</v>
      </c>
      <c r="F30" s="16">
        <f t="shared" si="3"/>
        <v>1</v>
      </c>
      <c r="G30" s="16" t="s">
        <v>535</v>
      </c>
      <c r="H30" s="16" t="s">
        <v>658</v>
      </c>
      <c r="I30" s="59" t="s">
        <v>511</v>
      </c>
    </row>
    <row r="31" spans="1:9" ht="126" x14ac:dyDescent="0.25">
      <c r="A31" s="59">
        <v>433</v>
      </c>
      <c r="B31" s="59" t="s">
        <v>250</v>
      </c>
      <c r="C31" s="59">
        <v>9</v>
      </c>
      <c r="D31" s="59">
        <v>1</v>
      </c>
      <c r="E31" s="16">
        <f t="shared" ref="E31:E47" si="4">QUOTIENT(D31+7,8)</f>
        <v>1</v>
      </c>
      <c r="F31" s="16">
        <f t="shared" ref="F31:F47" si="5">QUOTIENT(E31+1,2)</f>
        <v>1</v>
      </c>
      <c r="G31" s="16" t="s">
        <v>536</v>
      </c>
      <c r="H31" s="16" t="s">
        <v>659</v>
      </c>
      <c r="I31" s="59" t="s">
        <v>512</v>
      </c>
    </row>
    <row r="32" spans="1:9" ht="31.5" x14ac:dyDescent="0.25">
      <c r="A32" s="59">
        <v>433</v>
      </c>
      <c r="B32" s="59" t="s">
        <v>251</v>
      </c>
      <c r="C32" s="59">
        <v>10</v>
      </c>
      <c r="D32" s="59">
        <v>1</v>
      </c>
      <c r="E32" s="16">
        <f t="shared" si="4"/>
        <v>1</v>
      </c>
      <c r="F32" s="16">
        <f t="shared" si="5"/>
        <v>1</v>
      </c>
      <c r="G32" s="16" t="s">
        <v>537</v>
      </c>
      <c r="H32" s="16"/>
      <c r="I32" s="59" t="s">
        <v>513</v>
      </c>
    </row>
    <row r="33" spans="1:9" ht="110.25" x14ac:dyDescent="0.25">
      <c r="A33" s="59">
        <v>433</v>
      </c>
      <c r="B33" s="59" t="s">
        <v>252</v>
      </c>
      <c r="C33" s="59">
        <v>11</v>
      </c>
      <c r="D33" s="59">
        <v>1</v>
      </c>
      <c r="E33" s="16">
        <f t="shared" si="4"/>
        <v>1</v>
      </c>
      <c r="F33" s="16">
        <f t="shared" si="5"/>
        <v>1</v>
      </c>
      <c r="G33" s="16" t="s">
        <v>538</v>
      </c>
      <c r="H33" s="16" t="s">
        <v>660</v>
      </c>
      <c r="I33" s="59" t="s">
        <v>514</v>
      </c>
    </row>
    <row r="34" spans="1:9" ht="126" x14ac:dyDescent="0.25">
      <c r="A34" s="59">
        <v>433</v>
      </c>
      <c r="B34" s="59" t="s">
        <v>253</v>
      </c>
      <c r="C34" s="59">
        <v>12</v>
      </c>
      <c r="D34" s="59">
        <v>1</v>
      </c>
      <c r="E34" s="16">
        <f t="shared" si="4"/>
        <v>1</v>
      </c>
      <c r="F34" s="16">
        <f t="shared" si="5"/>
        <v>1</v>
      </c>
      <c r="G34" s="16" t="s">
        <v>539</v>
      </c>
      <c r="H34" s="16" t="s">
        <v>661</v>
      </c>
      <c r="I34" s="59" t="s">
        <v>515</v>
      </c>
    </row>
    <row r="35" spans="1:9" ht="47.25" x14ac:dyDescent="0.25">
      <c r="A35" s="59">
        <v>433</v>
      </c>
      <c r="B35" s="59" t="s">
        <v>254</v>
      </c>
      <c r="C35" s="59">
        <v>13</v>
      </c>
      <c r="D35" s="59">
        <v>1</v>
      </c>
      <c r="E35" s="16">
        <f t="shared" si="4"/>
        <v>1</v>
      </c>
      <c r="F35" s="16">
        <f t="shared" si="5"/>
        <v>1</v>
      </c>
      <c r="G35" s="16" t="s">
        <v>540</v>
      </c>
      <c r="H35" s="16" t="s">
        <v>662</v>
      </c>
      <c r="I35" s="59" t="s">
        <v>516</v>
      </c>
    </row>
    <row r="36" spans="1:9" ht="16.5" thickBot="1" x14ac:dyDescent="0.3">
      <c r="A36" s="101">
        <v>433</v>
      </c>
      <c r="B36" s="101" t="s">
        <v>26</v>
      </c>
      <c r="C36" s="109" t="s">
        <v>506</v>
      </c>
      <c r="D36" s="101">
        <v>2</v>
      </c>
      <c r="E36" s="66">
        <f t="shared" si="4"/>
        <v>1</v>
      </c>
      <c r="F36" s="66">
        <f t="shared" si="5"/>
        <v>1</v>
      </c>
      <c r="G36" s="101" t="s">
        <v>469</v>
      </c>
      <c r="H36" s="66"/>
      <c r="I36" s="101" t="s">
        <v>517</v>
      </c>
    </row>
    <row r="37" spans="1:9" x14ac:dyDescent="0.25">
      <c r="A37" s="51">
        <v>434</v>
      </c>
      <c r="B37" s="51" t="s">
        <v>26</v>
      </c>
      <c r="C37" s="110" t="s">
        <v>518</v>
      </c>
      <c r="D37" s="51">
        <v>3</v>
      </c>
      <c r="E37" s="8">
        <f t="shared" si="4"/>
        <v>1</v>
      </c>
      <c r="F37" s="8">
        <f t="shared" si="5"/>
        <v>1</v>
      </c>
      <c r="G37" s="111" t="s">
        <v>469</v>
      </c>
      <c r="H37" s="8"/>
      <c r="I37" s="59" t="s">
        <v>521</v>
      </c>
    </row>
    <row r="38" spans="1:9" x14ac:dyDescent="0.25">
      <c r="A38" s="59">
        <v>434</v>
      </c>
      <c r="B38" s="59" t="s">
        <v>26</v>
      </c>
      <c r="C38" s="59">
        <v>3</v>
      </c>
      <c r="D38" s="59">
        <v>1</v>
      </c>
      <c r="E38" s="16">
        <f t="shared" si="4"/>
        <v>1</v>
      </c>
      <c r="F38" s="16">
        <f t="shared" si="5"/>
        <v>1</v>
      </c>
      <c r="G38" s="59" t="s">
        <v>469</v>
      </c>
      <c r="H38" s="16"/>
      <c r="I38" s="59" t="s">
        <v>522</v>
      </c>
    </row>
    <row r="39" spans="1:9" x14ac:dyDescent="0.25">
      <c r="A39" s="59">
        <v>434</v>
      </c>
      <c r="B39" s="59" t="s">
        <v>26</v>
      </c>
      <c r="C39" s="108" t="s">
        <v>519</v>
      </c>
      <c r="D39" s="59">
        <v>2</v>
      </c>
      <c r="E39" s="16">
        <f t="shared" si="4"/>
        <v>1</v>
      </c>
      <c r="F39" s="16">
        <f t="shared" si="5"/>
        <v>1</v>
      </c>
      <c r="G39" s="59" t="s">
        <v>469</v>
      </c>
      <c r="H39" s="16"/>
      <c r="I39" s="59" t="s">
        <v>523</v>
      </c>
    </row>
    <row r="40" spans="1:9" ht="31.5" x14ac:dyDescent="0.25">
      <c r="A40" s="59">
        <v>434</v>
      </c>
      <c r="B40" s="59" t="s">
        <v>255</v>
      </c>
      <c r="C40" s="59">
        <v>6</v>
      </c>
      <c r="D40" s="59">
        <v>1</v>
      </c>
      <c r="E40" s="16">
        <f t="shared" si="4"/>
        <v>1</v>
      </c>
      <c r="F40" s="16">
        <f t="shared" si="5"/>
        <v>1</v>
      </c>
      <c r="G40" s="16" t="s">
        <v>541</v>
      </c>
      <c r="H40" s="16"/>
      <c r="I40" s="59" t="s">
        <v>524</v>
      </c>
    </row>
    <row r="41" spans="1:9" x14ac:dyDescent="0.25">
      <c r="A41" s="59">
        <v>434</v>
      </c>
      <c r="B41" s="59" t="s">
        <v>256</v>
      </c>
      <c r="C41" s="59">
        <v>7</v>
      </c>
      <c r="D41" s="59">
        <v>1</v>
      </c>
      <c r="E41" s="16">
        <f t="shared" si="4"/>
        <v>1</v>
      </c>
      <c r="F41" s="16">
        <f t="shared" si="5"/>
        <v>1</v>
      </c>
      <c r="G41" s="59" t="s">
        <v>257</v>
      </c>
      <c r="H41" s="16"/>
      <c r="I41" s="59" t="s">
        <v>525</v>
      </c>
    </row>
    <row r="42" spans="1:9" x14ac:dyDescent="0.25">
      <c r="A42" s="59">
        <v>434</v>
      </c>
      <c r="B42" s="59" t="s">
        <v>258</v>
      </c>
      <c r="C42" s="59">
        <v>8</v>
      </c>
      <c r="D42" s="59">
        <v>1</v>
      </c>
      <c r="E42" s="16">
        <f t="shared" si="4"/>
        <v>1</v>
      </c>
      <c r="F42" s="16">
        <f t="shared" si="5"/>
        <v>1</v>
      </c>
      <c r="G42" s="59" t="s">
        <v>259</v>
      </c>
      <c r="H42" s="16"/>
      <c r="I42" s="59" t="s">
        <v>526</v>
      </c>
    </row>
    <row r="43" spans="1:9" x14ac:dyDescent="0.25">
      <c r="A43" s="59">
        <v>434</v>
      </c>
      <c r="B43" s="59" t="s">
        <v>260</v>
      </c>
      <c r="C43" s="59">
        <v>9</v>
      </c>
      <c r="D43" s="59">
        <v>1</v>
      </c>
      <c r="E43" s="16">
        <f t="shared" si="4"/>
        <v>1</v>
      </c>
      <c r="F43" s="16">
        <f t="shared" si="5"/>
        <v>1</v>
      </c>
      <c r="G43" s="59" t="s">
        <v>261</v>
      </c>
      <c r="H43" s="16"/>
      <c r="I43" s="59" t="s">
        <v>527</v>
      </c>
    </row>
    <row r="44" spans="1:9" ht="31.5" x14ac:dyDescent="0.25">
      <c r="A44" s="59">
        <v>434</v>
      </c>
      <c r="B44" s="59" t="s">
        <v>262</v>
      </c>
      <c r="C44" s="59">
        <v>10</v>
      </c>
      <c r="D44" s="59">
        <v>1</v>
      </c>
      <c r="E44" s="16">
        <f t="shared" si="4"/>
        <v>1</v>
      </c>
      <c r="F44" s="16">
        <f t="shared" si="5"/>
        <v>1</v>
      </c>
      <c r="G44" s="16" t="s">
        <v>542</v>
      </c>
      <c r="H44" s="16"/>
      <c r="I44" s="59" t="s">
        <v>528</v>
      </c>
    </row>
    <row r="45" spans="1:9" x14ac:dyDescent="0.25">
      <c r="A45" s="59">
        <v>434</v>
      </c>
      <c r="B45" s="59" t="s">
        <v>263</v>
      </c>
      <c r="C45" s="59">
        <v>11</v>
      </c>
      <c r="D45" s="59">
        <v>1</v>
      </c>
      <c r="E45" s="16">
        <f t="shared" si="4"/>
        <v>1</v>
      </c>
      <c r="F45" s="16">
        <f t="shared" si="5"/>
        <v>1</v>
      </c>
      <c r="G45" s="59" t="s">
        <v>264</v>
      </c>
      <c r="H45" s="16"/>
      <c r="I45" s="59" t="s">
        <v>529</v>
      </c>
    </row>
    <row r="46" spans="1:9" ht="16.5" thickBot="1" x14ac:dyDescent="0.3">
      <c r="A46" s="101">
        <v>434</v>
      </c>
      <c r="B46" s="101" t="s">
        <v>26</v>
      </c>
      <c r="C46" s="109" t="s">
        <v>520</v>
      </c>
      <c r="D46" s="101">
        <v>4</v>
      </c>
      <c r="E46" s="66">
        <f t="shared" si="4"/>
        <v>1</v>
      </c>
      <c r="F46" s="66">
        <f t="shared" si="5"/>
        <v>1</v>
      </c>
      <c r="G46" s="101" t="s">
        <v>469</v>
      </c>
      <c r="H46" s="66"/>
      <c r="I46" s="101" t="s">
        <v>530</v>
      </c>
    </row>
    <row r="47" spans="1:9" ht="16.5" thickBot="1" x14ac:dyDescent="0.3">
      <c r="A47" s="50">
        <v>435</v>
      </c>
      <c r="B47" s="50" t="s">
        <v>26</v>
      </c>
      <c r="C47" s="67" t="s">
        <v>334</v>
      </c>
      <c r="D47" s="50">
        <v>16</v>
      </c>
      <c r="E47" s="68">
        <f t="shared" si="4"/>
        <v>2</v>
      </c>
      <c r="F47" s="68">
        <f t="shared" si="5"/>
        <v>1</v>
      </c>
      <c r="G47" s="50" t="s">
        <v>469</v>
      </c>
      <c r="H47" s="68"/>
      <c r="I47" s="101" t="s">
        <v>543</v>
      </c>
    </row>
    <row r="48" spans="1:9" x14ac:dyDescent="0.25">
      <c r="A48" s="51">
        <v>436</v>
      </c>
      <c r="B48" s="51" t="s">
        <v>26</v>
      </c>
      <c r="C48" s="51">
        <v>0</v>
      </c>
      <c r="D48" s="51">
        <v>1</v>
      </c>
      <c r="E48" s="8">
        <f t="shared" ref="E48" si="6">QUOTIENT(D48+7,8)</f>
        <v>1</v>
      </c>
      <c r="F48" s="8">
        <f t="shared" ref="F48" si="7">QUOTIENT(E48+1,2)</f>
        <v>1</v>
      </c>
      <c r="G48" s="51" t="s">
        <v>469</v>
      </c>
      <c r="H48" s="8"/>
      <c r="I48" s="59" t="s">
        <v>544</v>
      </c>
    </row>
    <row r="49" spans="1:9" x14ac:dyDescent="0.25">
      <c r="A49" s="59">
        <v>436</v>
      </c>
      <c r="B49" s="59" t="s">
        <v>26</v>
      </c>
      <c r="C49" s="59">
        <v>1</v>
      </c>
      <c r="D49" s="59">
        <v>1</v>
      </c>
      <c r="E49" s="16">
        <f t="shared" ref="E49:E63" si="8">QUOTIENT(D49+7,8)</f>
        <v>1</v>
      </c>
      <c r="F49" s="16">
        <f t="shared" ref="F49:F63" si="9">QUOTIENT(E49+1,2)</f>
        <v>1</v>
      </c>
      <c r="G49" s="59" t="s">
        <v>469</v>
      </c>
      <c r="H49" s="16"/>
      <c r="I49" s="59" t="s">
        <v>544</v>
      </c>
    </row>
    <row r="50" spans="1:9" x14ac:dyDescent="0.25">
      <c r="A50" s="59">
        <v>436</v>
      </c>
      <c r="B50" s="59" t="s">
        <v>26</v>
      </c>
      <c r="C50" s="59">
        <v>2</v>
      </c>
      <c r="D50" s="59">
        <v>1</v>
      </c>
      <c r="E50" s="16">
        <f t="shared" si="8"/>
        <v>1</v>
      </c>
      <c r="F50" s="16">
        <f t="shared" si="9"/>
        <v>1</v>
      </c>
      <c r="G50" s="59" t="s">
        <v>469</v>
      </c>
      <c r="H50" s="16"/>
      <c r="I50" s="59" t="s">
        <v>544</v>
      </c>
    </row>
    <row r="51" spans="1:9" x14ac:dyDescent="0.25">
      <c r="A51" s="59">
        <v>436</v>
      </c>
      <c r="B51" s="59" t="s">
        <v>26</v>
      </c>
      <c r="C51" s="59">
        <v>3</v>
      </c>
      <c r="D51" s="59">
        <v>1</v>
      </c>
      <c r="E51" s="16">
        <f t="shared" si="8"/>
        <v>1</v>
      </c>
      <c r="F51" s="16">
        <f t="shared" si="9"/>
        <v>1</v>
      </c>
      <c r="G51" s="59" t="s">
        <v>469</v>
      </c>
      <c r="H51" s="16"/>
      <c r="I51" s="59" t="s">
        <v>544</v>
      </c>
    </row>
    <row r="52" spans="1:9" ht="31.5" x14ac:dyDescent="0.25">
      <c r="A52" s="59">
        <v>436</v>
      </c>
      <c r="B52" s="59" t="s">
        <v>227</v>
      </c>
      <c r="C52" s="59">
        <v>4</v>
      </c>
      <c r="D52" s="59">
        <v>1</v>
      </c>
      <c r="E52" s="16">
        <f t="shared" si="8"/>
        <v>1</v>
      </c>
      <c r="F52" s="16">
        <f t="shared" si="9"/>
        <v>1</v>
      </c>
      <c r="G52" s="16" t="s">
        <v>531</v>
      </c>
      <c r="H52" s="16"/>
      <c r="I52" s="59" t="s">
        <v>544</v>
      </c>
    </row>
    <row r="53" spans="1:9" x14ac:dyDescent="0.25">
      <c r="A53" s="59">
        <v>436</v>
      </c>
      <c r="B53" s="59" t="s">
        <v>26</v>
      </c>
      <c r="C53" s="59">
        <v>5</v>
      </c>
      <c r="D53" s="59">
        <v>1</v>
      </c>
      <c r="E53" s="16">
        <f t="shared" si="8"/>
        <v>1</v>
      </c>
      <c r="F53" s="16">
        <f t="shared" si="9"/>
        <v>1</v>
      </c>
      <c r="G53" s="59" t="s">
        <v>469</v>
      </c>
      <c r="H53" s="16"/>
      <c r="I53" s="59" t="s">
        <v>544</v>
      </c>
    </row>
    <row r="54" spans="1:9" x14ac:dyDescent="0.25">
      <c r="A54" s="59">
        <v>436</v>
      </c>
      <c r="B54" s="59" t="s">
        <v>26</v>
      </c>
      <c r="C54" s="59">
        <v>6</v>
      </c>
      <c r="D54" s="59">
        <v>1</v>
      </c>
      <c r="E54" s="16">
        <f t="shared" si="8"/>
        <v>1</v>
      </c>
      <c r="F54" s="16">
        <f t="shared" si="9"/>
        <v>1</v>
      </c>
      <c r="G54" s="59" t="s">
        <v>469</v>
      </c>
      <c r="H54" s="16"/>
      <c r="I54" s="59" t="s">
        <v>544</v>
      </c>
    </row>
    <row r="55" spans="1:9" x14ac:dyDescent="0.25">
      <c r="A55" s="59">
        <v>436</v>
      </c>
      <c r="B55" s="59" t="s">
        <v>228</v>
      </c>
      <c r="C55" s="59">
        <v>7</v>
      </c>
      <c r="D55" s="59">
        <v>1</v>
      </c>
      <c r="E55" s="16">
        <f t="shared" si="8"/>
        <v>1</v>
      </c>
      <c r="F55" s="16">
        <f t="shared" si="9"/>
        <v>1</v>
      </c>
      <c r="G55" s="59" t="s">
        <v>229</v>
      </c>
      <c r="H55" s="16"/>
      <c r="I55" s="59" t="s">
        <v>545</v>
      </c>
    </row>
    <row r="56" spans="1:9" x14ac:dyDescent="0.25">
      <c r="A56" s="59">
        <v>436</v>
      </c>
      <c r="B56" s="59" t="s">
        <v>230</v>
      </c>
      <c r="C56" s="59">
        <v>8</v>
      </c>
      <c r="D56" s="59">
        <v>1</v>
      </c>
      <c r="E56" s="16">
        <f t="shared" si="8"/>
        <v>1</v>
      </c>
      <c r="F56" s="16">
        <f t="shared" si="9"/>
        <v>1</v>
      </c>
      <c r="G56" s="59" t="s">
        <v>231</v>
      </c>
      <c r="H56" s="16"/>
      <c r="I56" s="59" t="s">
        <v>546</v>
      </c>
    </row>
    <row r="57" spans="1:9" x14ac:dyDescent="0.25">
      <c r="A57" s="59">
        <v>436</v>
      </c>
      <c r="B57" s="59" t="s">
        <v>232</v>
      </c>
      <c r="C57" s="59">
        <v>9</v>
      </c>
      <c r="D57" s="59">
        <v>1</v>
      </c>
      <c r="E57" s="16">
        <f t="shared" si="8"/>
        <v>1</v>
      </c>
      <c r="F57" s="16">
        <f t="shared" si="9"/>
        <v>1</v>
      </c>
      <c r="G57" s="59" t="s">
        <v>233</v>
      </c>
      <c r="H57" s="16"/>
      <c r="I57" s="59" t="s">
        <v>547</v>
      </c>
    </row>
    <row r="58" spans="1:9" x14ac:dyDescent="0.25">
      <c r="A58" s="59">
        <v>436</v>
      </c>
      <c r="B58" s="59" t="s">
        <v>234</v>
      </c>
      <c r="C58" s="59">
        <v>10</v>
      </c>
      <c r="D58" s="59">
        <v>1</v>
      </c>
      <c r="E58" s="16">
        <f t="shared" si="8"/>
        <v>1</v>
      </c>
      <c r="F58" s="16">
        <f t="shared" si="9"/>
        <v>1</v>
      </c>
      <c r="G58" s="59" t="s">
        <v>235</v>
      </c>
      <c r="H58" s="16"/>
      <c r="I58" s="59" t="s">
        <v>548</v>
      </c>
    </row>
    <row r="59" spans="1:9" x14ac:dyDescent="0.25">
      <c r="A59" s="59">
        <v>436</v>
      </c>
      <c r="B59" s="59" t="s">
        <v>236</v>
      </c>
      <c r="C59" s="59">
        <v>11</v>
      </c>
      <c r="D59" s="59">
        <v>1</v>
      </c>
      <c r="E59" s="16">
        <f t="shared" si="8"/>
        <v>1</v>
      </c>
      <c r="F59" s="16">
        <f t="shared" si="9"/>
        <v>1</v>
      </c>
      <c r="G59" s="59" t="s">
        <v>237</v>
      </c>
      <c r="H59" s="16"/>
      <c r="I59" s="59" t="s">
        <v>549</v>
      </c>
    </row>
    <row r="60" spans="1:9" x14ac:dyDescent="0.25">
      <c r="A60" s="59">
        <v>436</v>
      </c>
      <c r="B60" s="59" t="s">
        <v>238</v>
      </c>
      <c r="C60" s="59">
        <v>12</v>
      </c>
      <c r="D60" s="59">
        <v>1</v>
      </c>
      <c r="E60" s="16">
        <f t="shared" si="8"/>
        <v>1</v>
      </c>
      <c r="F60" s="16">
        <f t="shared" si="9"/>
        <v>1</v>
      </c>
      <c r="G60" s="59" t="s">
        <v>239</v>
      </c>
      <c r="H60" s="16"/>
      <c r="I60" s="59" t="s">
        <v>550</v>
      </c>
    </row>
    <row r="61" spans="1:9" x14ac:dyDescent="0.25">
      <c r="A61" s="59">
        <v>436</v>
      </c>
      <c r="B61" s="59" t="s">
        <v>240</v>
      </c>
      <c r="C61" s="59">
        <v>13</v>
      </c>
      <c r="D61" s="59">
        <v>1</v>
      </c>
      <c r="E61" s="16">
        <f t="shared" si="8"/>
        <v>1</v>
      </c>
      <c r="F61" s="16">
        <f t="shared" si="9"/>
        <v>1</v>
      </c>
      <c r="G61" s="59" t="s">
        <v>241</v>
      </c>
      <c r="H61" s="16"/>
      <c r="I61" s="59" t="s">
        <v>551</v>
      </c>
    </row>
    <row r="62" spans="1:9" x14ac:dyDescent="0.25">
      <c r="A62" s="59">
        <v>436</v>
      </c>
      <c r="B62" s="59" t="s">
        <v>242</v>
      </c>
      <c r="C62" s="59">
        <v>14</v>
      </c>
      <c r="D62" s="59">
        <v>1</v>
      </c>
      <c r="E62" s="16">
        <f t="shared" si="8"/>
        <v>1</v>
      </c>
      <c r="F62" s="16">
        <f t="shared" si="9"/>
        <v>1</v>
      </c>
      <c r="G62" s="59" t="s">
        <v>243</v>
      </c>
      <c r="H62" s="16"/>
      <c r="I62" s="59" t="s">
        <v>552</v>
      </c>
    </row>
    <row r="63" spans="1:9" ht="16.5" thickBot="1" x14ac:dyDescent="0.3">
      <c r="A63" s="101">
        <v>436</v>
      </c>
      <c r="B63" s="101" t="s">
        <v>26</v>
      </c>
      <c r="C63" s="101">
        <v>15</v>
      </c>
      <c r="D63" s="101">
        <v>1</v>
      </c>
      <c r="E63" s="66">
        <f t="shared" si="8"/>
        <v>1</v>
      </c>
      <c r="F63" s="66">
        <f t="shared" si="9"/>
        <v>1</v>
      </c>
      <c r="G63" s="101" t="s">
        <v>469</v>
      </c>
      <c r="H63" s="66"/>
      <c r="I63" s="101" t="s">
        <v>544</v>
      </c>
    </row>
    <row r="64" spans="1:9" ht="16.5" thickBot="1" x14ac:dyDescent="0.3">
      <c r="A64" s="50">
        <v>437</v>
      </c>
      <c r="B64" s="50" t="s">
        <v>26</v>
      </c>
      <c r="C64" s="50">
        <v>15</v>
      </c>
      <c r="D64" s="50">
        <v>16</v>
      </c>
      <c r="E64" s="68">
        <f t="shared" ref="E64:E65" si="10">QUOTIENT(D64+7,8)</f>
        <v>2</v>
      </c>
      <c r="F64" s="68">
        <f t="shared" ref="F64:F65" si="11">QUOTIENT(E64+1,2)</f>
        <v>1</v>
      </c>
      <c r="G64" s="50" t="s">
        <v>469</v>
      </c>
      <c r="H64" s="68"/>
      <c r="I64" s="50" t="s">
        <v>553</v>
      </c>
    </row>
    <row r="65" spans="1:9" ht="48" thickBot="1" x14ac:dyDescent="0.3">
      <c r="A65" s="60">
        <v>438</v>
      </c>
      <c r="B65" s="60" t="s">
        <v>560</v>
      </c>
      <c r="C65" s="92" t="s">
        <v>334</v>
      </c>
      <c r="D65" s="60">
        <v>16</v>
      </c>
      <c r="E65" s="93">
        <f t="shared" si="10"/>
        <v>2</v>
      </c>
      <c r="F65" s="93">
        <f t="shared" si="11"/>
        <v>1</v>
      </c>
      <c r="G65" s="93" t="s">
        <v>561</v>
      </c>
      <c r="H65" s="93"/>
      <c r="I65" s="60"/>
    </row>
    <row r="66" spans="1:9" ht="48" thickBot="1" x14ac:dyDescent="0.3">
      <c r="A66" s="60">
        <v>439</v>
      </c>
      <c r="B66" s="60" t="s">
        <v>568</v>
      </c>
      <c r="C66" s="92" t="s">
        <v>334</v>
      </c>
      <c r="D66" s="60">
        <v>16</v>
      </c>
      <c r="E66" s="93">
        <f t="shared" ref="E66:E67" si="12">QUOTIENT(D66+7,8)</f>
        <v>2</v>
      </c>
      <c r="F66" s="93">
        <f t="shared" ref="F66:F67" si="13">QUOTIENT(E66+1,2)</f>
        <v>1</v>
      </c>
      <c r="G66" s="93" t="s">
        <v>561</v>
      </c>
      <c r="H66" s="93"/>
      <c r="I66" s="60"/>
    </row>
    <row r="67" spans="1:9" ht="48" thickBot="1" x14ac:dyDescent="0.3">
      <c r="A67" s="114" t="s">
        <v>562</v>
      </c>
      <c r="B67" s="60" t="s">
        <v>569</v>
      </c>
      <c r="C67" s="92" t="s">
        <v>334</v>
      </c>
      <c r="D67" s="60">
        <v>16</v>
      </c>
      <c r="E67" s="93">
        <f t="shared" si="12"/>
        <v>2</v>
      </c>
      <c r="F67" s="93">
        <f t="shared" si="13"/>
        <v>1</v>
      </c>
      <c r="G67" s="93" t="s">
        <v>561</v>
      </c>
      <c r="H67" s="93"/>
      <c r="I67" s="60"/>
    </row>
    <row r="68" spans="1:9" ht="48" thickBot="1" x14ac:dyDescent="0.3">
      <c r="A68" s="114" t="s">
        <v>563</v>
      </c>
      <c r="B68" s="60" t="s">
        <v>570</v>
      </c>
      <c r="C68" s="92" t="s">
        <v>334</v>
      </c>
      <c r="D68" s="60">
        <v>16</v>
      </c>
      <c r="E68" s="93">
        <f t="shared" ref="E68:E72" si="14">QUOTIENT(D68+7,8)</f>
        <v>2</v>
      </c>
      <c r="F68" s="93">
        <f t="shared" ref="F68:F72" si="15">QUOTIENT(E68+1,2)</f>
        <v>1</v>
      </c>
      <c r="G68" s="93" t="s">
        <v>561</v>
      </c>
      <c r="H68" s="93"/>
      <c r="I68" s="60"/>
    </row>
    <row r="69" spans="1:9" ht="48" thickBot="1" x14ac:dyDescent="0.3">
      <c r="A69" s="114" t="s">
        <v>564</v>
      </c>
      <c r="B69" s="60" t="s">
        <v>571</v>
      </c>
      <c r="C69" s="92" t="s">
        <v>334</v>
      </c>
      <c r="D69" s="60">
        <v>16</v>
      </c>
      <c r="E69" s="93">
        <f t="shared" si="14"/>
        <v>2</v>
      </c>
      <c r="F69" s="93">
        <f t="shared" si="15"/>
        <v>1</v>
      </c>
      <c r="G69" s="93" t="s">
        <v>561</v>
      </c>
      <c r="H69" s="93"/>
      <c r="I69" s="60"/>
    </row>
    <row r="70" spans="1:9" ht="48" thickBot="1" x14ac:dyDescent="0.3">
      <c r="A70" s="114" t="s">
        <v>565</v>
      </c>
      <c r="B70" s="60" t="s">
        <v>572</v>
      </c>
      <c r="C70" s="92" t="s">
        <v>334</v>
      </c>
      <c r="D70" s="60">
        <v>16</v>
      </c>
      <c r="E70" s="93">
        <f t="shared" si="14"/>
        <v>2</v>
      </c>
      <c r="F70" s="93">
        <f t="shared" si="15"/>
        <v>1</v>
      </c>
      <c r="G70" s="93" t="s">
        <v>561</v>
      </c>
      <c r="H70" s="93"/>
      <c r="I70" s="60"/>
    </row>
    <row r="71" spans="1:9" ht="48" thickBot="1" x14ac:dyDescent="0.3">
      <c r="A71" s="114" t="s">
        <v>566</v>
      </c>
      <c r="B71" s="60" t="s">
        <v>573</v>
      </c>
      <c r="C71" s="92" t="s">
        <v>334</v>
      </c>
      <c r="D71" s="60">
        <v>16</v>
      </c>
      <c r="E71" s="93">
        <f t="shared" si="14"/>
        <v>2</v>
      </c>
      <c r="F71" s="93">
        <f t="shared" si="15"/>
        <v>1</v>
      </c>
      <c r="G71" s="93" t="s">
        <v>561</v>
      </c>
      <c r="H71" s="93"/>
      <c r="I71" s="60"/>
    </row>
    <row r="72" spans="1:9" ht="48" thickBot="1" x14ac:dyDescent="0.3">
      <c r="A72" s="114" t="s">
        <v>567</v>
      </c>
      <c r="B72" s="60" t="s">
        <v>574</v>
      </c>
      <c r="C72" s="92" t="s">
        <v>334</v>
      </c>
      <c r="D72" s="60">
        <v>16</v>
      </c>
      <c r="E72" s="93">
        <f t="shared" si="14"/>
        <v>2</v>
      </c>
      <c r="F72" s="93">
        <f t="shared" si="15"/>
        <v>1</v>
      </c>
      <c r="G72" s="93" t="s">
        <v>561</v>
      </c>
      <c r="H72" s="93"/>
      <c r="I72" s="60"/>
    </row>
    <row r="73" spans="1:9" ht="16.5" thickBot="1" x14ac:dyDescent="0.3">
      <c r="A73" s="116" t="str">
        <f>DEC2HEX(HEX2DEC(A72)+F72)</f>
        <v>440</v>
      </c>
      <c r="B73" s="13" t="s">
        <v>22</v>
      </c>
      <c r="C73" s="61"/>
      <c r="D73" s="61">
        <f>SUM(D2:D72)</f>
        <v>256</v>
      </c>
      <c r="E73" s="12">
        <f>QUOTIENT(D73+7,8)</f>
        <v>32</v>
      </c>
      <c r="F73" s="12">
        <f>QUOTIENT(E73+1,2)</f>
        <v>16</v>
      </c>
      <c r="G73" s="61"/>
      <c r="H73" s="61"/>
      <c r="I73" s="61"/>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4"/>
  <sheetViews>
    <sheetView zoomScaleNormal="100" workbookViewId="0">
      <pane ySplit="1" topLeftCell="A2" activePane="bottomLeft" state="frozen"/>
      <selection pane="bottomLeft" activeCell="F37" sqref="F37"/>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8.75" x14ac:dyDescent="0.25">
      <c r="A1" s="113" t="s">
        <v>329</v>
      </c>
      <c r="B1" s="113" t="s">
        <v>554</v>
      </c>
      <c r="C1" s="113" t="s">
        <v>331</v>
      </c>
      <c r="D1" s="113" t="s">
        <v>335</v>
      </c>
      <c r="E1" s="113" t="s">
        <v>336</v>
      </c>
      <c r="F1" s="113" t="s">
        <v>337</v>
      </c>
      <c r="G1" s="113" t="s">
        <v>18</v>
      </c>
      <c r="H1" s="113" t="s">
        <v>19</v>
      </c>
    </row>
    <row r="2" spans="1:8" x14ac:dyDescent="0.25">
      <c r="A2" s="115" t="s">
        <v>575</v>
      </c>
      <c r="B2" s="49" t="s">
        <v>265</v>
      </c>
      <c r="C2" s="49" t="s">
        <v>555</v>
      </c>
      <c r="D2" s="8">
        <v>48128</v>
      </c>
      <c r="E2" s="8">
        <f t="shared" ref="E2" si="0">QUOTIENT(D2+7,8)</f>
        <v>6016</v>
      </c>
      <c r="F2" s="8">
        <f t="shared" ref="F2" si="1">QUOTIENT(E2+1,2)</f>
        <v>3008</v>
      </c>
      <c r="G2" s="9" t="s">
        <v>663</v>
      </c>
      <c r="H2" s="10"/>
    </row>
    <row r="3" spans="1:8" ht="19.5" customHeight="1" thickBot="1" x14ac:dyDescent="0.3">
      <c r="A3" s="116" t="str">
        <f>DEC2HEX(HEX2DEC(A2)+F2)</f>
        <v>1000</v>
      </c>
      <c r="B3" s="13" t="s">
        <v>22</v>
      </c>
      <c r="C3" s="61"/>
      <c r="D3" s="12">
        <f>SUM(D2:D2)</f>
        <v>48128</v>
      </c>
      <c r="E3" s="12">
        <f>SUM(E2:E2)</f>
        <v>6016</v>
      </c>
      <c r="F3" s="12">
        <f>SUM(F2:F2)</f>
        <v>3008</v>
      </c>
      <c r="G3" s="12"/>
      <c r="H3" s="14"/>
    </row>
    <row r="4" spans="1:8" ht="17.25" customHeight="1" x14ac:dyDescent="0.25">
      <c r="A4" s="117" t="str">
        <f>DEC2HEX(F4)</f>
        <v>BC0</v>
      </c>
      <c r="B4" s="8" t="s">
        <v>23</v>
      </c>
      <c r="C4" s="8"/>
      <c r="D4" s="8">
        <f>F3*16</f>
        <v>48128</v>
      </c>
      <c r="E4" s="8">
        <f t="shared" ref="E4" si="2">QUOTIENT(D4+7,8)</f>
        <v>6016</v>
      </c>
      <c r="F4" s="8">
        <f t="shared" ref="F4" si="3">QUOTIENT(E4+1,2)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A39" sqref="A39"/>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3" t="s">
        <v>329</v>
      </c>
      <c r="B1" s="113" t="s">
        <v>554</v>
      </c>
      <c r="C1" s="113" t="s">
        <v>331</v>
      </c>
      <c r="D1" s="113" t="s">
        <v>335</v>
      </c>
      <c r="E1" s="113" t="s">
        <v>336</v>
      </c>
      <c r="F1" s="113" t="s">
        <v>337</v>
      </c>
      <c r="G1" s="113" t="s">
        <v>18</v>
      </c>
      <c r="H1" s="113" t="s">
        <v>19</v>
      </c>
    </row>
    <row r="2" spans="1:8" x14ac:dyDescent="0.25">
      <c r="A2" s="119">
        <v>1000</v>
      </c>
      <c r="B2" s="111" t="s">
        <v>267</v>
      </c>
      <c r="C2" s="118" t="s">
        <v>330</v>
      </c>
      <c r="D2" s="111">
        <v>32</v>
      </c>
      <c r="E2" s="21">
        <f t="shared" ref="E2" si="0">QUOTIENT(D2+7,8)</f>
        <v>4</v>
      </c>
      <c r="F2" s="21">
        <f t="shared" ref="F2" si="1">QUOTIENT(E2+1,2)</f>
        <v>2</v>
      </c>
      <c r="G2" s="111" t="s">
        <v>664</v>
      </c>
      <c r="H2" s="21" t="s">
        <v>266</v>
      </c>
    </row>
    <row r="3" spans="1:8" x14ac:dyDescent="0.25">
      <c r="A3" s="119" t="str">
        <f>DEC2HEX(HEX2DEC(A2)+F2)</f>
        <v>1002</v>
      </c>
      <c r="B3" s="111" t="s">
        <v>268</v>
      </c>
      <c r="C3" s="118" t="s">
        <v>330</v>
      </c>
      <c r="D3" s="111">
        <v>32</v>
      </c>
      <c r="E3" s="21">
        <f t="shared" ref="E3:E23" si="2">QUOTIENT(D3+7,8)</f>
        <v>4</v>
      </c>
      <c r="F3" s="21">
        <f t="shared" ref="F3:F23" si="3">QUOTIENT(E3+1,2)</f>
        <v>2</v>
      </c>
      <c r="G3" s="111" t="s">
        <v>664</v>
      </c>
      <c r="H3" s="21" t="s">
        <v>266</v>
      </c>
    </row>
    <row r="4" spans="1:8" x14ac:dyDescent="0.25">
      <c r="A4" s="119" t="str">
        <f t="shared" ref="A4:A23" si="4">DEC2HEX(HEX2DEC(A3)+F3)</f>
        <v>1004</v>
      </c>
      <c r="B4" s="111" t="s">
        <v>269</v>
      </c>
      <c r="C4" s="118" t="s">
        <v>330</v>
      </c>
      <c r="D4" s="111">
        <v>32</v>
      </c>
      <c r="E4" s="21">
        <f t="shared" si="2"/>
        <v>4</v>
      </c>
      <c r="F4" s="21">
        <f t="shared" si="3"/>
        <v>2</v>
      </c>
      <c r="G4" s="111" t="s">
        <v>664</v>
      </c>
      <c r="H4" s="21" t="s">
        <v>266</v>
      </c>
    </row>
    <row r="5" spans="1:8" x14ac:dyDescent="0.25">
      <c r="A5" s="119" t="str">
        <f t="shared" si="4"/>
        <v>1006</v>
      </c>
      <c r="B5" s="111" t="s">
        <v>270</v>
      </c>
      <c r="C5" s="118" t="s">
        <v>330</v>
      </c>
      <c r="D5" s="111">
        <v>32</v>
      </c>
      <c r="E5" s="21">
        <f t="shared" si="2"/>
        <v>4</v>
      </c>
      <c r="F5" s="21">
        <f t="shared" si="3"/>
        <v>2</v>
      </c>
      <c r="G5" s="111" t="s">
        <v>664</v>
      </c>
      <c r="H5" s="21" t="s">
        <v>266</v>
      </c>
    </row>
    <row r="6" spans="1:8" x14ac:dyDescent="0.25">
      <c r="A6" s="119" t="str">
        <f t="shared" si="4"/>
        <v>1008</v>
      </c>
      <c r="B6" s="111" t="s">
        <v>271</v>
      </c>
      <c r="C6" s="118" t="s">
        <v>330</v>
      </c>
      <c r="D6" s="111">
        <v>32</v>
      </c>
      <c r="E6" s="21">
        <f t="shared" si="2"/>
        <v>4</v>
      </c>
      <c r="F6" s="21">
        <f t="shared" si="3"/>
        <v>2</v>
      </c>
      <c r="G6" s="111" t="s">
        <v>664</v>
      </c>
      <c r="H6" s="21" t="s">
        <v>266</v>
      </c>
    </row>
    <row r="7" spans="1:8" x14ac:dyDescent="0.25">
      <c r="A7" s="119" t="str">
        <f t="shared" si="4"/>
        <v>100A</v>
      </c>
      <c r="B7" s="111" t="s">
        <v>272</v>
      </c>
      <c r="C7" s="118" t="s">
        <v>330</v>
      </c>
      <c r="D7" s="111">
        <v>32</v>
      </c>
      <c r="E7" s="21">
        <f t="shared" si="2"/>
        <v>4</v>
      </c>
      <c r="F7" s="21">
        <f t="shared" si="3"/>
        <v>2</v>
      </c>
      <c r="G7" s="111" t="s">
        <v>664</v>
      </c>
      <c r="H7" s="21" t="s">
        <v>266</v>
      </c>
    </row>
    <row r="8" spans="1:8" x14ac:dyDescent="0.25">
      <c r="A8" s="119" t="str">
        <f t="shared" si="4"/>
        <v>100C</v>
      </c>
      <c r="B8" s="111" t="s">
        <v>273</v>
      </c>
      <c r="C8" s="118" t="s">
        <v>330</v>
      </c>
      <c r="D8" s="111">
        <v>32</v>
      </c>
      <c r="E8" s="21">
        <f t="shared" si="2"/>
        <v>4</v>
      </c>
      <c r="F8" s="21">
        <f t="shared" si="3"/>
        <v>2</v>
      </c>
      <c r="G8" s="111" t="s">
        <v>664</v>
      </c>
      <c r="H8" s="21" t="s">
        <v>266</v>
      </c>
    </row>
    <row r="9" spans="1:8" x14ac:dyDescent="0.25">
      <c r="A9" s="119" t="str">
        <f t="shared" si="4"/>
        <v>100E</v>
      </c>
      <c r="B9" s="111" t="s">
        <v>274</v>
      </c>
      <c r="C9" s="118" t="s">
        <v>330</v>
      </c>
      <c r="D9" s="111">
        <v>32</v>
      </c>
      <c r="E9" s="21">
        <f t="shared" si="2"/>
        <v>4</v>
      </c>
      <c r="F9" s="21">
        <f t="shared" si="3"/>
        <v>2</v>
      </c>
      <c r="G9" s="111" t="s">
        <v>664</v>
      </c>
      <c r="H9" s="21" t="s">
        <v>266</v>
      </c>
    </row>
    <row r="10" spans="1:8" x14ac:dyDescent="0.25">
      <c r="A10" s="119" t="str">
        <f t="shared" si="4"/>
        <v>1010</v>
      </c>
      <c r="B10" s="111" t="s">
        <v>275</v>
      </c>
      <c r="C10" s="118" t="s">
        <v>330</v>
      </c>
      <c r="D10" s="111">
        <v>32</v>
      </c>
      <c r="E10" s="21">
        <f t="shared" si="2"/>
        <v>4</v>
      </c>
      <c r="F10" s="21">
        <f t="shared" si="3"/>
        <v>2</v>
      </c>
      <c r="G10" s="111" t="s">
        <v>664</v>
      </c>
      <c r="H10" s="21" t="s">
        <v>266</v>
      </c>
    </row>
    <row r="11" spans="1:8" x14ac:dyDescent="0.25">
      <c r="A11" s="119" t="str">
        <f t="shared" si="4"/>
        <v>1012</v>
      </c>
      <c r="B11" s="111" t="s">
        <v>276</v>
      </c>
      <c r="C11" s="118" t="s">
        <v>330</v>
      </c>
      <c r="D11" s="111">
        <v>32</v>
      </c>
      <c r="E11" s="21">
        <f t="shared" si="2"/>
        <v>4</v>
      </c>
      <c r="F11" s="21">
        <f t="shared" si="3"/>
        <v>2</v>
      </c>
      <c r="G11" s="111" t="s">
        <v>664</v>
      </c>
      <c r="H11" s="21" t="s">
        <v>266</v>
      </c>
    </row>
    <row r="12" spans="1:8" x14ac:dyDescent="0.25">
      <c r="A12" s="119" t="str">
        <f t="shared" si="4"/>
        <v>1014</v>
      </c>
      <c r="B12" s="111" t="s">
        <v>277</v>
      </c>
      <c r="C12" s="118" t="s">
        <v>330</v>
      </c>
      <c r="D12" s="111">
        <v>32</v>
      </c>
      <c r="E12" s="21">
        <f t="shared" si="2"/>
        <v>4</v>
      </c>
      <c r="F12" s="21">
        <f t="shared" si="3"/>
        <v>2</v>
      </c>
      <c r="G12" s="111" t="s">
        <v>664</v>
      </c>
      <c r="H12" s="21" t="s">
        <v>266</v>
      </c>
    </row>
    <row r="13" spans="1:8" x14ac:dyDescent="0.25">
      <c r="A13" s="119" t="str">
        <f t="shared" si="4"/>
        <v>1016</v>
      </c>
      <c r="B13" s="111" t="s">
        <v>278</v>
      </c>
      <c r="C13" s="118" t="s">
        <v>330</v>
      </c>
      <c r="D13" s="111">
        <v>32</v>
      </c>
      <c r="E13" s="21">
        <f t="shared" si="2"/>
        <v>4</v>
      </c>
      <c r="F13" s="21">
        <f t="shared" si="3"/>
        <v>2</v>
      </c>
      <c r="G13" s="111" t="s">
        <v>664</v>
      </c>
      <c r="H13" s="21" t="s">
        <v>266</v>
      </c>
    </row>
    <row r="14" spans="1:8" x14ac:dyDescent="0.25">
      <c r="A14" s="119" t="str">
        <f t="shared" si="4"/>
        <v>1018</v>
      </c>
      <c r="B14" s="111" t="s">
        <v>279</v>
      </c>
      <c r="C14" s="118" t="s">
        <v>330</v>
      </c>
      <c r="D14" s="111">
        <v>32</v>
      </c>
      <c r="E14" s="21">
        <f t="shared" si="2"/>
        <v>4</v>
      </c>
      <c r="F14" s="21">
        <f t="shared" si="3"/>
        <v>2</v>
      </c>
      <c r="G14" s="111" t="s">
        <v>664</v>
      </c>
      <c r="H14" s="21" t="s">
        <v>266</v>
      </c>
    </row>
    <row r="15" spans="1:8" x14ac:dyDescent="0.25">
      <c r="A15" s="119" t="str">
        <f t="shared" si="4"/>
        <v>101A</v>
      </c>
      <c r="B15" s="111" t="s">
        <v>280</v>
      </c>
      <c r="C15" s="118" t="s">
        <v>330</v>
      </c>
      <c r="D15" s="111">
        <v>32</v>
      </c>
      <c r="E15" s="21">
        <f t="shared" si="2"/>
        <v>4</v>
      </c>
      <c r="F15" s="21">
        <f t="shared" si="3"/>
        <v>2</v>
      </c>
      <c r="G15" s="111" t="s">
        <v>664</v>
      </c>
      <c r="H15" s="21" t="s">
        <v>266</v>
      </c>
    </row>
    <row r="16" spans="1:8" x14ac:dyDescent="0.25">
      <c r="A16" s="119" t="str">
        <f t="shared" si="4"/>
        <v>101C</v>
      </c>
      <c r="B16" s="111" t="s">
        <v>281</v>
      </c>
      <c r="C16" s="118" t="s">
        <v>330</v>
      </c>
      <c r="D16" s="111">
        <v>32</v>
      </c>
      <c r="E16" s="21">
        <f t="shared" si="2"/>
        <v>4</v>
      </c>
      <c r="F16" s="21">
        <f t="shared" si="3"/>
        <v>2</v>
      </c>
      <c r="G16" s="111" t="s">
        <v>664</v>
      </c>
      <c r="H16" s="21" t="s">
        <v>266</v>
      </c>
    </row>
    <row r="17" spans="1:8" x14ac:dyDescent="0.25">
      <c r="A17" s="119" t="str">
        <f t="shared" si="4"/>
        <v>101E</v>
      </c>
      <c r="B17" s="59" t="s">
        <v>282</v>
      </c>
      <c r="C17" s="96" t="s">
        <v>330</v>
      </c>
      <c r="D17" s="59">
        <v>32</v>
      </c>
      <c r="E17" s="16">
        <f t="shared" si="2"/>
        <v>4</v>
      </c>
      <c r="F17" s="16">
        <f t="shared" si="3"/>
        <v>2</v>
      </c>
      <c r="G17" s="111" t="s">
        <v>664</v>
      </c>
      <c r="H17" s="16" t="s">
        <v>266</v>
      </c>
    </row>
    <row r="18" spans="1:8" x14ac:dyDescent="0.25">
      <c r="A18" s="119" t="str">
        <f t="shared" si="4"/>
        <v>1020</v>
      </c>
      <c r="B18" s="59" t="s">
        <v>576</v>
      </c>
      <c r="C18" s="96" t="s">
        <v>330</v>
      </c>
      <c r="D18" s="59">
        <v>32</v>
      </c>
      <c r="E18" s="16">
        <f t="shared" si="2"/>
        <v>4</v>
      </c>
      <c r="F18" s="16">
        <f t="shared" si="3"/>
        <v>2</v>
      </c>
      <c r="G18" s="111" t="s">
        <v>664</v>
      </c>
      <c r="H18" s="16" t="s">
        <v>266</v>
      </c>
    </row>
    <row r="19" spans="1:8" x14ac:dyDescent="0.25">
      <c r="A19" s="119" t="str">
        <f t="shared" si="4"/>
        <v>1022</v>
      </c>
      <c r="B19" s="59" t="s">
        <v>577</v>
      </c>
      <c r="C19" s="96" t="s">
        <v>330</v>
      </c>
      <c r="D19" s="59">
        <v>32</v>
      </c>
      <c r="E19" s="16">
        <f t="shared" si="2"/>
        <v>4</v>
      </c>
      <c r="F19" s="16">
        <f t="shared" si="3"/>
        <v>2</v>
      </c>
      <c r="G19" s="111" t="s">
        <v>664</v>
      </c>
      <c r="H19" s="16" t="s">
        <v>266</v>
      </c>
    </row>
    <row r="20" spans="1:8" x14ac:dyDescent="0.25">
      <c r="A20" s="119" t="str">
        <f t="shared" si="4"/>
        <v>1024</v>
      </c>
      <c r="B20" s="59" t="s">
        <v>578</v>
      </c>
      <c r="C20" s="96" t="s">
        <v>330</v>
      </c>
      <c r="D20" s="59">
        <v>32</v>
      </c>
      <c r="E20" s="16">
        <f t="shared" si="2"/>
        <v>4</v>
      </c>
      <c r="F20" s="16">
        <f t="shared" si="3"/>
        <v>2</v>
      </c>
      <c r="G20" s="111" t="s">
        <v>664</v>
      </c>
      <c r="H20" s="16" t="s">
        <v>266</v>
      </c>
    </row>
    <row r="21" spans="1:8" x14ac:dyDescent="0.25">
      <c r="A21" s="119" t="str">
        <f t="shared" si="4"/>
        <v>1026</v>
      </c>
      <c r="B21" s="59" t="s">
        <v>579</v>
      </c>
      <c r="C21" s="96" t="s">
        <v>330</v>
      </c>
      <c r="D21" s="59">
        <v>32</v>
      </c>
      <c r="E21" s="16">
        <f t="shared" si="2"/>
        <v>4</v>
      </c>
      <c r="F21" s="16">
        <f t="shared" si="3"/>
        <v>2</v>
      </c>
      <c r="G21" s="111" t="s">
        <v>664</v>
      </c>
      <c r="H21" s="16" t="s">
        <v>266</v>
      </c>
    </row>
    <row r="22" spans="1:8" ht="16.5" thickBot="1" x14ac:dyDescent="0.3">
      <c r="A22" s="122" t="str">
        <f t="shared" si="4"/>
        <v>1028</v>
      </c>
      <c r="B22" s="101" t="s">
        <v>580</v>
      </c>
      <c r="C22" s="97" t="s">
        <v>581</v>
      </c>
      <c r="D22" s="101">
        <v>1920</v>
      </c>
      <c r="E22" s="66">
        <f t="shared" si="2"/>
        <v>240</v>
      </c>
      <c r="F22" s="66">
        <f t="shared" si="3"/>
        <v>120</v>
      </c>
      <c r="G22" s="101" t="s">
        <v>25</v>
      </c>
      <c r="H22" s="66" t="s">
        <v>266</v>
      </c>
    </row>
    <row r="23" spans="1:8" x14ac:dyDescent="0.25">
      <c r="A23" s="121" t="str">
        <f t="shared" si="4"/>
        <v>10A0</v>
      </c>
      <c r="B23" s="51" t="s">
        <v>284</v>
      </c>
      <c r="C23" s="63" t="s">
        <v>586</v>
      </c>
      <c r="D23" s="51">
        <v>384</v>
      </c>
      <c r="E23" s="51">
        <f t="shared" si="2"/>
        <v>48</v>
      </c>
      <c r="F23" s="51">
        <f t="shared" si="3"/>
        <v>24</v>
      </c>
      <c r="G23" s="111" t="s">
        <v>595</v>
      </c>
      <c r="H23" s="51" t="s">
        <v>283</v>
      </c>
    </row>
    <row r="24" spans="1:8" x14ac:dyDescent="0.25">
      <c r="A24" s="119" t="str">
        <f>DEC2HEX(HEX2DEC(A23)+F23)</f>
        <v>10B8</v>
      </c>
      <c r="B24" s="59" t="s">
        <v>285</v>
      </c>
      <c r="C24" s="96" t="s">
        <v>586</v>
      </c>
      <c r="D24" s="59">
        <v>384</v>
      </c>
      <c r="E24" s="59">
        <f t="shared" ref="E24:E30" si="5">QUOTIENT(D24+7,8)</f>
        <v>48</v>
      </c>
      <c r="F24" s="59">
        <f t="shared" ref="F24:F30" si="6">QUOTIENT(E24+1,2)</f>
        <v>24</v>
      </c>
      <c r="G24" s="111" t="s">
        <v>595</v>
      </c>
      <c r="H24" s="59" t="s">
        <v>283</v>
      </c>
    </row>
    <row r="25" spans="1:8" x14ac:dyDescent="0.25">
      <c r="A25" s="119" t="str">
        <f t="shared" ref="A25:A44" si="7">DEC2HEX(HEX2DEC(A24)+F24)</f>
        <v>10D0</v>
      </c>
      <c r="B25" s="59" t="s">
        <v>286</v>
      </c>
      <c r="C25" s="96" t="s">
        <v>586</v>
      </c>
      <c r="D25" s="59">
        <v>384</v>
      </c>
      <c r="E25" s="59">
        <f t="shared" si="5"/>
        <v>48</v>
      </c>
      <c r="F25" s="59">
        <f t="shared" si="6"/>
        <v>24</v>
      </c>
      <c r="G25" s="111" t="s">
        <v>595</v>
      </c>
      <c r="H25" s="59" t="s">
        <v>283</v>
      </c>
    </row>
    <row r="26" spans="1:8" x14ac:dyDescent="0.25">
      <c r="A26" s="119" t="str">
        <f t="shared" si="7"/>
        <v>10E8</v>
      </c>
      <c r="B26" s="59" t="s">
        <v>287</v>
      </c>
      <c r="C26" s="96" t="s">
        <v>586</v>
      </c>
      <c r="D26" s="59">
        <v>384</v>
      </c>
      <c r="E26" s="59">
        <f t="shared" si="5"/>
        <v>48</v>
      </c>
      <c r="F26" s="59">
        <f t="shared" si="6"/>
        <v>24</v>
      </c>
      <c r="G26" s="111" t="s">
        <v>595</v>
      </c>
      <c r="H26" s="59" t="s">
        <v>283</v>
      </c>
    </row>
    <row r="27" spans="1:8" x14ac:dyDescent="0.25">
      <c r="A27" s="119" t="str">
        <f t="shared" si="7"/>
        <v>1100</v>
      </c>
      <c r="B27" s="59" t="s">
        <v>288</v>
      </c>
      <c r="C27" s="96" t="s">
        <v>586</v>
      </c>
      <c r="D27" s="59">
        <v>384</v>
      </c>
      <c r="E27" s="59">
        <f t="shared" si="5"/>
        <v>48</v>
      </c>
      <c r="F27" s="59">
        <f t="shared" si="6"/>
        <v>24</v>
      </c>
      <c r="G27" s="111" t="s">
        <v>595</v>
      </c>
      <c r="H27" s="59" t="s">
        <v>283</v>
      </c>
    </row>
    <row r="28" spans="1:8" x14ac:dyDescent="0.25">
      <c r="A28" s="119" t="str">
        <f t="shared" si="7"/>
        <v>1118</v>
      </c>
      <c r="B28" s="59" t="s">
        <v>289</v>
      </c>
      <c r="C28" s="96" t="s">
        <v>586</v>
      </c>
      <c r="D28" s="59">
        <v>384</v>
      </c>
      <c r="E28" s="59">
        <f t="shared" si="5"/>
        <v>48</v>
      </c>
      <c r="F28" s="59">
        <f t="shared" si="6"/>
        <v>24</v>
      </c>
      <c r="G28" s="111" t="s">
        <v>595</v>
      </c>
      <c r="H28" s="59" t="s">
        <v>283</v>
      </c>
    </row>
    <row r="29" spans="1:8" x14ac:dyDescent="0.25">
      <c r="A29" s="119" t="str">
        <f t="shared" si="7"/>
        <v>1130</v>
      </c>
      <c r="B29" s="59" t="s">
        <v>290</v>
      </c>
      <c r="C29" s="96" t="s">
        <v>586</v>
      </c>
      <c r="D29" s="59">
        <v>384</v>
      </c>
      <c r="E29" s="59">
        <f t="shared" si="5"/>
        <v>48</v>
      </c>
      <c r="F29" s="59">
        <f t="shared" si="6"/>
        <v>24</v>
      </c>
      <c r="G29" s="111" t="s">
        <v>595</v>
      </c>
      <c r="H29" s="59" t="s">
        <v>283</v>
      </c>
    </row>
    <row r="30" spans="1:8" x14ac:dyDescent="0.25">
      <c r="A30" s="119" t="str">
        <f t="shared" si="7"/>
        <v>1148</v>
      </c>
      <c r="B30" s="59" t="s">
        <v>291</v>
      </c>
      <c r="C30" s="96" t="s">
        <v>586</v>
      </c>
      <c r="D30" s="59">
        <v>384</v>
      </c>
      <c r="E30" s="59">
        <f t="shared" si="5"/>
        <v>48</v>
      </c>
      <c r="F30" s="59">
        <f t="shared" si="6"/>
        <v>24</v>
      </c>
      <c r="G30" s="111" t="s">
        <v>595</v>
      </c>
      <c r="H30" s="59" t="s">
        <v>283</v>
      </c>
    </row>
    <row r="31" spans="1:8" x14ac:dyDescent="0.25">
      <c r="A31" s="120" t="str">
        <f t="shared" si="7"/>
        <v>1160</v>
      </c>
      <c r="B31" s="59" t="s">
        <v>292</v>
      </c>
      <c r="C31" s="96" t="s">
        <v>586</v>
      </c>
      <c r="D31" s="59">
        <v>384</v>
      </c>
      <c r="E31" s="59">
        <f t="shared" ref="E31:E38" si="8">QUOTIENT(D31+7,8)</f>
        <v>48</v>
      </c>
      <c r="F31" s="59">
        <f t="shared" ref="F31:F38" si="9">QUOTIENT(E31+1,2)</f>
        <v>24</v>
      </c>
      <c r="G31" s="111" t="s">
        <v>595</v>
      </c>
      <c r="H31" s="59" t="s">
        <v>283</v>
      </c>
    </row>
    <row r="32" spans="1:8" x14ac:dyDescent="0.25">
      <c r="A32" s="120" t="str">
        <f t="shared" si="7"/>
        <v>1178</v>
      </c>
      <c r="B32" s="59" t="s">
        <v>293</v>
      </c>
      <c r="C32" s="96" t="s">
        <v>586</v>
      </c>
      <c r="D32" s="59">
        <v>384</v>
      </c>
      <c r="E32" s="59">
        <f t="shared" si="8"/>
        <v>48</v>
      </c>
      <c r="F32" s="59">
        <f t="shared" si="9"/>
        <v>24</v>
      </c>
      <c r="G32" s="111" t="s">
        <v>595</v>
      </c>
      <c r="H32" s="59" t="s">
        <v>283</v>
      </c>
    </row>
    <row r="33" spans="1:8" x14ac:dyDescent="0.25">
      <c r="A33" s="120" t="str">
        <f t="shared" si="7"/>
        <v>1190</v>
      </c>
      <c r="B33" s="59" t="s">
        <v>294</v>
      </c>
      <c r="C33" s="96" t="s">
        <v>586</v>
      </c>
      <c r="D33" s="59">
        <v>384</v>
      </c>
      <c r="E33" s="59">
        <f t="shared" si="8"/>
        <v>48</v>
      </c>
      <c r="F33" s="59">
        <f t="shared" si="9"/>
        <v>24</v>
      </c>
      <c r="G33" s="111" t="s">
        <v>595</v>
      </c>
      <c r="H33" s="59" t="s">
        <v>283</v>
      </c>
    </row>
    <row r="34" spans="1:8" x14ac:dyDescent="0.25">
      <c r="A34" s="120" t="str">
        <f t="shared" si="7"/>
        <v>11A8</v>
      </c>
      <c r="B34" s="59" t="s">
        <v>295</v>
      </c>
      <c r="C34" s="96" t="s">
        <v>586</v>
      </c>
      <c r="D34" s="59">
        <v>384</v>
      </c>
      <c r="E34" s="59">
        <f t="shared" si="8"/>
        <v>48</v>
      </c>
      <c r="F34" s="59">
        <f t="shared" si="9"/>
        <v>24</v>
      </c>
      <c r="G34" s="111" t="s">
        <v>595</v>
      </c>
      <c r="H34" s="59" t="s">
        <v>283</v>
      </c>
    </row>
    <row r="35" spans="1:8" x14ac:dyDescent="0.25">
      <c r="A35" s="120" t="str">
        <f t="shared" si="7"/>
        <v>11C0</v>
      </c>
      <c r="B35" s="59" t="s">
        <v>296</v>
      </c>
      <c r="C35" s="96" t="s">
        <v>586</v>
      </c>
      <c r="D35" s="59">
        <v>384</v>
      </c>
      <c r="E35" s="59">
        <f t="shared" si="8"/>
        <v>48</v>
      </c>
      <c r="F35" s="59">
        <f t="shared" si="9"/>
        <v>24</v>
      </c>
      <c r="G35" s="111" t="s">
        <v>595</v>
      </c>
      <c r="H35" s="59" t="s">
        <v>283</v>
      </c>
    </row>
    <row r="36" spans="1:8" x14ac:dyDescent="0.25">
      <c r="A36" s="120" t="str">
        <f t="shared" si="7"/>
        <v>11D8</v>
      </c>
      <c r="B36" s="59" t="s">
        <v>297</v>
      </c>
      <c r="C36" s="96" t="s">
        <v>586</v>
      </c>
      <c r="D36" s="59">
        <v>384</v>
      </c>
      <c r="E36" s="59">
        <f t="shared" si="8"/>
        <v>48</v>
      </c>
      <c r="F36" s="59">
        <f t="shared" si="9"/>
        <v>24</v>
      </c>
      <c r="G36" s="111" t="s">
        <v>595</v>
      </c>
      <c r="H36" s="59" t="s">
        <v>283</v>
      </c>
    </row>
    <row r="37" spans="1:8" x14ac:dyDescent="0.25">
      <c r="A37" s="120" t="str">
        <f t="shared" si="7"/>
        <v>11F0</v>
      </c>
      <c r="B37" s="59" t="s">
        <v>298</v>
      </c>
      <c r="C37" s="96" t="s">
        <v>586</v>
      </c>
      <c r="D37" s="59">
        <v>384</v>
      </c>
      <c r="E37" s="59">
        <f t="shared" si="8"/>
        <v>48</v>
      </c>
      <c r="F37" s="59">
        <f t="shared" si="9"/>
        <v>24</v>
      </c>
      <c r="G37" s="111" t="s">
        <v>595</v>
      </c>
      <c r="H37" s="59" t="s">
        <v>283</v>
      </c>
    </row>
    <row r="38" spans="1:8" x14ac:dyDescent="0.25">
      <c r="A38" s="120" t="str">
        <f t="shared" si="7"/>
        <v>1208</v>
      </c>
      <c r="B38" s="59" t="s">
        <v>299</v>
      </c>
      <c r="C38" s="96" t="s">
        <v>586</v>
      </c>
      <c r="D38" s="59">
        <v>384</v>
      </c>
      <c r="E38" s="59">
        <f t="shared" si="8"/>
        <v>48</v>
      </c>
      <c r="F38" s="59">
        <f t="shared" si="9"/>
        <v>24</v>
      </c>
      <c r="G38" s="111" t="s">
        <v>595</v>
      </c>
      <c r="H38" s="59" t="s">
        <v>283</v>
      </c>
    </row>
    <row r="39" spans="1:8" x14ac:dyDescent="0.25">
      <c r="A39" s="120" t="str">
        <f t="shared" si="7"/>
        <v>1220</v>
      </c>
      <c r="B39" s="59" t="s">
        <v>582</v>
      </c>
      <c r="C39" s="96" t="s">
        <v>588</v>
      </c>
      <c r="D39" s="59">
        <v>256</v>
      </c>
      <c r="E39" s="59">
        <f t="shared" ref="E39:E43" si="10">QUOTIENT(D39+7,8)</f>
        <v>32</v>
      </c>
      <c r="F39" s="59">
        <f t="shared" ref="F39:F43" si="11">QUOTIENT(E39+1,2)</f>
        <v>16</v>
      </c>
      <c r="G39" s="59" t="s">
        <v>665</v>
      </c>
      <c r="H39" s="59" t="s">
        <v>283</v>
      </c>
    </row>
    <row r="40" spans="1:8" x14ac:dyDescent="0.25">
      <c r="A40" s="120" t="str">
        <f t="shared" si="7"/>
        <v>1230</v>
      </c>
      <c r="B40" s="59" t="s">
        <v>583</v>
      </c>
      <c r="C40" s="96" t="s">
        <v>588</v>
      </c>
      <c r="D40" s="59">
        <v>256</v>
      </c>
      <c r="E40" s="59">
        <f t="shared" si="10"/>
        <v>32</v>
      </c>
      <c r="F40" s="59">
        <f t="shared" si="11"/>
        <v>16</v>
      </c>
      <c r="G40" s="59" t="s">
        <v>665</v>
      </c>
      <c r="H40" s="59" t="s">
        <v>283</v>
      </c>
    </row>
    <row r="41" spans="1:8" x14ac:dyDescent="0.25">
      <c r="A41" s="120" t="str">
        <f t="shared" si="7"/>
        <v>1240</v>
      </c>
      <c r="B41" s="59" t="s">
        <v>584</v>
      </c>
      <c r="C41" s="96" t="s">
        <v>588</v>
      </c>
      <c r="D41" s="59">
        <v>256</v>
      </c>
      <c r="E41" s="59">
        <f t="shared" si="10"/>
        <v>32</v>
      </c>
      <c r="F41" s="59">
        <f t="shared" si="11"/>
        <v>16</v>
      </c>
      <c r="G41" s="59" t="s">
        <v>665</v>
      </c>
      <c r="H41" s="59" t="s">
        <v>283</v>
      </c>
    </row>
    <row r="42" spans="1:8" x14ac:dyDescent="0.25">
      <c r="A42" s="120" t="str">
        <f t="shared" si="7"/>
        <v>1250</v>
      </c>
      <c r="B42" s="59" t="s">
        <v>585</v>
      </c>
      <c r="C42" s="96" t="s">
        <v>588</v>
      </c>
      <c r="D42" s="59">
        <v>256</v>
      </c>
      <c r="E42" s="59">
        <f t="shared" si="10"/>
        <v>32</v>
      </c>
      <c r="F42" s="59">
        <f t="shared" si="11"/>
        <v>16</v>
      </c>
      <c r="G42" s="59" t="s">
        <v>665</v>
      </c>
      <c r="H42" s="59" t="s">
        <v>283</v>
      </c>
    </row>
    <row r="43" spans="1:8" ht="16.5" thickBot="1" x14ac:dyDescent="0.3">
      <c r="A43" s="120" t="str">
        <f t="shared" si="7"/>
        <v>1260</v>
      </c>
      <c r="B43" s="59" t="s">
        <v>25</v>
      </c>
      <c r="C43" s="96" t="s">
        <v>587</v>
      </c>
      <c r="D43" s="59">
        <v>39424</v>
      </c>
      <c r="E43" s="59">
        <f t="shared" si="10"/>
        <v>4928</v>
      </c>
      <c r="F43" s="59">
        <f t="shared" si="11"/>
        <v>2464</v>
      </c>
      <c r="G43" s="59" t="s">
        <v>25</v>
      </c>
      <c r="H43" s="59" t="s">
        <v>283</v>
      </c>
    </row>
    <row r="44" spans="1:8" ht="16.5" thickBot="1" x14ac:dyDescent="0.3">
      <c r="A44" s="123"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G9" sqref="G9"/>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3" t="s">
        <v>329</v>
      </c>
      <c r="B1" s="113" t="s">
        <v>554</v>
      </c>
      <c r="C1" s="113" t="s">
        <v>331</v>
      </c>
      <c r="D1" s="113" t="s">
        <v>335</v>
      </c>
      <c r="E1" s="113" t="s">
        <v>336</v>
      </c>
      <c r="F1" s="113" t="s">
        <v>337</v>
      </c>
      <c r="G1" s="113" t="s">
        <v>18</v>
      </c>
      <c r="H1" s="113" t="s">
        <v>19</v>
      </c>
    </row>
    <row r="2" spans="1:8" ht="31.5" x14ac:dyDescent="0.25">
      <c r="A2" s="52" t="s">
        <v>302</v>
      </c>
      <c r="B2" s="16" t="s">
        <v>303</v>
      </c>
      <c r="C2" s="16">
        <v>0</v>
      </c>
      <c r="D2" s="16">
        <v>1</v>
      </c>
      <c r="E2" s="16">
        <f t="shared" ref="E2" si="0">QUOTIENT(D2+7,8)</f>
        <v>1</v>
      </c>
      <c r="F2" s="16">
        <f t="shared" ref="F2" si="1">QUOTIENT(E2+1,2)</f>
        <v>1</v>
      </c>
      <c r="G2" s="16" t="s">
        <v>304</v>
      </c>
      <c r="H2" s="18" t="s">
        <v>305</v>
      </c>
    </row>
    <row r="3" spans="1:8" ht="31.5" x14ac:dyDescent="0.25">
      <c r="A3" s="17" t="str">
        <f t="shared" ref="A3:A11" si="2">DEC2HEX(HEX2DEC(A2)+F2)</f>
        <v>1C01</v>
      </c>
      <c r="B3" s="16" t="s">
        <v>306</v>
      </c>
      <c r="C3" s="16">
        <v>0</v>
      </c>
      <c r="D3" s="16">
        <v>1</v>
      </c>
      <c r="E3" s="16">
        <f t="shared" ref="E3:E7" si="3">QUOTIENT(D3+7,8)</f>
        <v>1</v>
      </c>
      <c r="F3" s="16">
        <f t="shared" ref="F3:F7" si="4">QUOTIENT(E3+1,2)</f>
        <v>1</v>
      </c>
      <c r="G3" s="16" t="s">
        <v>307</v>
      </c>
      <c r="H3" s="16" t="s">
        <v>308</v>
      </c>
    </row>
    <row r="4" spans="1:8" ht="31.5" x14ac:dyDescent="0.25">
      <c r="A4" s="17" t="str">
        <f t="shared" si="2"/>
        <v>1C02</v>
      </c>
      <c r="B4" s="16" t="s">
        <v>309</v>
      </c>
      <c r="C4" s="118" t="s">
        <v>588</v>
      </c>
      <c r="D4" s="16">
        <v>256</v>
      </c>
      <c r="E4" s="18">
        <f t="shared" si="3"/>
        <v>32</v>
      </c>
      <c r="F4" s="18">
        <f t="shared" si="4"/>
        <v>16</v>
      </c>
      <c r="G4" s="16" t="s">
        <v>666</v>
      </c>
      <c r="H4" s="16" t="s">
        <v>310</v>
      </c>
    </row>
    <row r="5" spans="1:8" ht="31.5" x14ac:dyDescent="0.25">
      <c r="A5" s="17" t="str">
        <f t="shared" si="2"/>
        <v>1C12</v>
      </c>
      <c r="B5" s="53" t="s">
        <v>311</v>
      </c>
      <c r="C5" s="118" t="s">
        <v>586</v>
      </c>
      <c r="D5" s="18">
        <v>384</v>
      </c>
      <c r="E5" s="18">
        <f t="shared" ref="E5" si="5">QUOTIENT(D5+7,8)</f>
        <v>48</v>
      </c>
      <c r="F5" s="18">
        <f t="shared" ref="F5" si="6">QUOTIENT(E5+1,2)</f>
        <v>24</v>
      </c>
      <c r="G5" s="16" t="s">
        <v>312</v>
      </c>
      <c r="H5" s="16" t="s">
        <v>313</v>
      </c>
    </row>
    <row r="6" spans="1:8" ht="158.25" x14ac:dyDescent="0.25">
      <c r="A6" s="17" t="str">
        <f t="shared" si="2"/>
        <v>1C2A</v>
      </c>
      <c r="B6" s="53" t="s">
        <v>314</v>
      </c>
      <c r="C6" s="118" t="s">
        <v>589</v>
      </c>
      <c r="D6" s="18">
        <v>768</v>
      </c>
      <c r="E6" s="18">
        <f t="shared" si="3"/>
        <v>96</v>
      </c>
      <c r="F6" s="18">
        <f t="shared" si="4"/>
        <v>48</v>
      </c>
      <c r="G6" s="16" t="s">
        <v>315</v>
      </c>
      <c r="H6" s="16" t="s">
        <v>310</v>
      </c>
    </row>
    <row r="7" spans="1:8" ht="31.5" x14ac:dyDescent="0.25">
      <c r="A7" s="17" t="str">
        <f t="shared" si="2"/>
        <v>1C5A</v>
      </c>
      <c r="B7" s="53" t="s">
        <v>316</v>
      </c>
      <c r="C7" s="118" t="s">
        <v>339</v>
      </c>
      <c r="D7" s="18">
        <v>128</v>
      </c>
      <c r="E7" s="18">
        <f t="shared" si="3"/>
        <v>16</v>
      </c>
      <c r="F7" s="18">
        <f t="shared" si="4"/>
        <v>8</v>
      </c>
      <c r="G7" s="16" t="s">
        <v>317</v>
      </c>
      <c r="H7" s="16" t="s">
        <v>310</v>
      </c>
    </row>
    <row r="8" spans="1:8" ht="78.75" x14ac:dyDescent="0.25">
      <c r="A8" s="17" t="str">
        <f t="shared" si="2"/>
        <v>1C62</v>
      </c>
      <c r="B8" s="53" t="s">
        <v>318</v>
      </c>
      <c r="C8" s="118" t="s">
        <v>590</v>
      </c>
      <c r="D8" s="18">
        <v>8192</v>
      </c>
      <c r="E8" s="18">
        <f t="shared" ref="E8:E9" si="7">QUOTIENT(D8+7,8)</f>
        <v>1024</v>
      </c>
      <c r="F8" s="18">
        <f t="shared" ref="F8:F9" si="8">QUOTIENT(E8+1,2)</f>
        <v>512</v>
      </c>
      <c r="G8" s="16" t="s">
        <v>706</v>
      </c>
      <c r="H8" s="16" t="s">
        <v>310</v>
      </c>
    </row>
    <row r="9" spans="1:8" x14ac:dyDescent="0.25">
      <c r="A9" s="17" t="str">
        <f t="shared" si="2"/>
        <v>1E62</v>
      </c>
      <c r="B9" s="53" t="s">
        <v>319</v>
      </c>
      <c r="C9" s="118" t="s">
        <v>589</v>
      </c>
      <c r="D9" s="18">
        <v>768</v>
      </c>
      <c r="E9" s="18">
        <f t="shared" si="7"/>
        <v>96</v>
      </c>
      <c r="F9" s="18">
        <f t="shared" si="8"/>
        <v>48</v>
      </c>
      <c r="G9" s="16" t="s">
        <v>320</v>
      </c>
      <c r="H9" s="16" t="s">
        <v>310</v>
      </c>
    </row>
    <row r="10" spans="1:8" ht="18.75" customHeight="1" thickBot="1" x14ac:dyDescent="0.3">
      <c r="A10" s="17" t="str">
        <f>DEC2HEX(HEX2DEC(A9)+F9)</f>
        <v>1E92</v>
      </c>
      <c r="B10" s="21" t="s">
        <v>25</v>
      </c>
      <c r="C10" s="118" t="s">
        <v>591</v>
      </c>
      <c r="D10" s="21">
        <v>3808</v>
      </c>
      <c r="E10" s="21">
        <f t="shared" ref="E10" si="9">QUOTIENT(D10+7,8)</f>
        <v>476</v>
      </c>
      <c r="F10" s="21">
        <f t="shared" ref="F10" si="10">QUOTIENT(E10+1,2)</f>
        <v>238</v>
      </c>
      <c r="G10" s="21" t="s">
        <v>300</v>
      </c>
      <c r="H10" s="21"/>
    </row>
    <row r="11" spans="1:8" ht="19.5" customHeight="1" thickBot="1" x14ac:dyDescent="0.3">
      <c r="A11" s="12" t="str">
        <f t="shared" si="2"/>
        <v>1F80</v>
      </c>
      <c r="B11" s="13" t="s">
        <v>22</v>
      </c>
      <c r="C11" s="61"/>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321</v>
      </c>
      <c r="B13" s="16" t="s">
        <v>322</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B13" sqref="B13"/>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3" t="s">
        <v>329</v>
      </c>
      <c r="B1" s="113" t="s">
        <v>554</v>
      </c>
      <c r="C1" s="113" t="s">
        <v>331</v>
      </c>
      <c r="D1" s="113" t="s">
        <v>335</v>
      </c>
      <c r="E1" s="113" t="s">
        <v>336</v>
      </c>
      <c r="F1" s="113" t="s">
        <v>337</v>
      </c>
      <c r="G1" s="113" t="s">
        <v>18</v>
      </c>
      <c r="H1" s="113" t="s">
        <v>19</v>
      </c>
    </row>
    <row r="2" spans="1:8" ht="18.75" customHeight="1" x14ac:dyDescent="0.25">
      <c r="A2" s="54" t="s">
        <v>321</v>
      </c>
      <c r="B2" s="53" t="s">
        <v>323</v>
      </c>
      <c r="C2" s="124" t="s">
        <v>592</v>
      </c>
      <c r="D2" s="18">
        <v>512</v>
      </c>
      <c r="E2" s="18">
        <f>QUOTIENT(D2+7,8)</f>
        <v>64</v>
      </c>
      <c r="F2" s="18">
        <f>QUOTIENT(E2+1,2)</f>
        <v>32</v>
      </c>
      <c r="G2" s="16" t="s">
        <v>667</v>
      </c>
      <c r="H2" s="18"/>
    </row>
    <row r="3" spans="1:8" x14ac:dyDescent="0.25">
      <c r="A3" s="55" t="str">
        <f t="shared" ref="A3:A8" si="0">DEC2HEX(HEX2DEC(A2)+F2)</f>
        <v>1FA0</v>
      </c>
      <c r="B3" s="53" t="s">
        <v>324</v>
      </c>
      <c r="C3" s="124" t="s">
        <v>593</v>
      </c>
      <c r="D3" s="18">
        <v>256</v>
      </c>
      <c r="E3" s="18">
        <f>QUOTIENT(D3+7,8)</f>
        <v>32</v>
      </c>
      <c r="F3" s="18">
        <f t="shared" ref="F3:F7" si="1">QUOTIENT(E3+1,2)</f>
        <v>16</v>
      </c>
      <c r="G3" s="56" t="s">
        <v>668</v>
      </c>
      <c r="H3" s="18" t="s">
        <v>310</v>
      </c>
    </row>
    <row r="4" spans="1:8" x14ac:dyDescent="0.25">
      <c r="A4" s="55" t="str">
        <f t="shared" si="0"/>
        <v>1FB0</v>
      </c>
      <c r="B4" s="53" t="s">
        <v>324</v>
      </c>
      <c r="C4" s="124" t="s">
        <v>594</v>
      </c>
      <c r="D4" s="18">
        <v>384</v>
      </c>
      <c r="E4" s="18">
        <f t="shared" ref="E4:E7" si="2">QUOTIENT(D4+7,8)</f>
        <v>48</v>
      </c>
      <c r="F4" s="18">
        <f t="shared" si="1"/>
        <v>24</v>
      </c>
      <c r="G4" s="56" t="s">
        <v>325</v>
      </c>
      <c r="H4" s="18" t="s">
        <v>310</v>
      </c>
    </row>
    <row r="5" spans="1:8" x14ac:dyDescent="0.25">
      <c r="A5" s="55" t="str">
        <f t="shared" si="0"/>
        <v>1FC8</v>
      </c>
      <c r="B5" s="53" t="s">
        <v>324</v>
      </c>
      <c r="C5" s="124" t="s">
        <v>593</v>
      </c>
      <c r="D5" s="18">
        <v>256</v>
      </c>
      <c r="E5" s="18">
        <f t="shared" si="2"/>
        <v>32</v>
      </c>
      <c r="F5" s="18">
        <f t="shared" si="1"/>
        <v>16</v>
      </c>
      <c r="G5" s="56" t="s">
        <v>669</v>
      </c>
      <c r="H5" s="18" t="s">
        <v>310</v>
      </c>
    </row>
    <row r="6" spans="1:8" x14ac:dyDescent="0.25">
      <c r="A6" s="55" t="str">
        <f t="shared" si="0"/>
        <v>1FD8</v>
      </c>
      <c r="B6" s="53" t="s">
        <v>324</v>
      </c>
      <c r="C6" s="124" t="s">
        <v>593</v>
      </c>
      <c r="D6" s="18">
        <v>256</v>
      </c>
      <c r="E6" s="18">
        <f t="shared" si="2"/>
        <v>32</v>
      </c>
      <c r="F6" s="18">
        <f t="shared" si="1"/>
        <v>16</v>
      </c>
      <c r="G6" s="56" t="s">
        <v>326</v>
      </c>
      <c r="H6" s="18" t="s">
        <v>327</v>
      </c>
    </row>
    <row r="7" spans="1:8" x14ac:dyDescent="0.25">
      <c r="A7" s="55" t="str">
        <f t="shared" si="0"/>
        <v>1FE8</v>
      </c>
      <c r="B7" s="53" t="s">
        <v>324</v>
      </c>
      <c r="C7" s="124" t="s">
        <v>594</v>
      </c>
      <c r="D7" s="18">
        <v>384</v>
      </c>
      <c r="E7" s="18">
        <f t="shared" si="2"/>
        <v>48</v>
      </c>
      <c r="F7" s="18">
        <f t="shared" si="1"/>
        <v>24</v>
      </c>
      <c r="G7" s="56" t="s">
        <v>26</v>
      </c>
      <c r="H7" s="18"/>
    </row>
    <row r="8" spans="1:8" ht="19.5" customHeight="1" x14ac:dyDescent="0.25">
      <c r="A8" s="57" t="str">
        <f t="shared" si="0"/>
        <v>2000</v>
      </c>
      <c r="B8" s="57" t="s">
        <v>301</v>
      </c>
      <c r="C8" s="57"/>
      <c r="D8" s="58">
        <f>SUM(D2:D7)</f>
        <v>2048</v>
      </c>
      <c r="E8" s="58">
        <f>SUM(E2:E7)</f>
        <v>256</v>
      </c>
      <c r="F8" s="58">
        <f>SUM(F2:F7)</f>
        <v>128</v>
      </c>
      <c r="G8" s="58"/>
      <c r="H8" s="58"/>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808489-AD29-49EF-A920-5725306266D8}">
  <ds:schemaRefs>
    <ds:schemaRef ds:uri="http://schemas.microsoft.com/sharepoint/v3/contenttype/forms"/>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2026-04-24T09:45:30Z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